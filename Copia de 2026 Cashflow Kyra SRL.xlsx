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agonia Kyra" sheetId="1" r:id="rId4"/>
    <sheet state="visible" name="Galicia Kyra" sheetId="2" r:id="rId5"/>
    <sheet state="visible" name="Patagonia Personal" sheetId="3" r:id="rId6"/>
    <sheet state="visible" name="Patagonia USD" sheetId="4" r:id="rId7"/>
    <sheet state="visible" name="LLC Mercury USD" sheetId="5" r:id="rId8"/>
    <sheet state="visible" name="TC Kyra Patagonia" sheetId="6" r:id="rId9"/>
    <sheet state="visible" name="Efectivo" sheetId="7" r:id="rId10"/>
  </sheets>
  <definedNames/>
  <calcPr/>
  <extLst>
    <ext uri="GoogleSheetsCustomDataVersion2">
      <go:sheetsCustomData xmlns:go="http://customooxmlschemas.google.com/" r:id="rId11" roundtripDataChecksum="5yDes9paYRqOpmoyTmj8PZEtSVnV7llz8uZx6Fqny2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fc 0035
======</t>
      </text>
    </comment>
    <comment authorId="0" ref="D57">
      <text>
        <t xml:space="preserve">Fc 2 y 3
======</t>
      </text>
    </comment>
    <comment authorId="0" ref="C19">
      <text>
        <t xml:space="preserve">======
ID#AAABzFozXAs
Mailén Brandao    (2026-01-26 22:31:14)
Calma Sur</t>
      </text>
    </comment>
  </commentList>
  <extLst>
    <ext uri="GoogleSheetsCustomDataVersion2">
      <go:sheetsCustomData xmlns:go="http://customooxmlschemas.google.com/" r:id="rId1" roundtripDataSignature="AMtx7mivINlF+l/3JjWQTnNDfUFOReZY4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fc 0035
======</t>
      </text>
    </comment>
    <comment authorId="0" ref="D57">
      <text>
        <t xml:space="preserve">Fc 2 y 3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5">
      <text>
        <t xml:space="preserve">======
ID#AAAB507s9U8
Juan Cruz Ziccardi    (2026-05-05 21:35:39)
Pago Sophos</t>
      </text>
    </comment>
    <comment authorId="0" ref="R15">
      <text>
        <t xml:space="preserve">======
ID#AAAB5Y0y3mI
Juan Cruz Ziccardi    (2026-04-14 15:19:27)
CAFADYA</t>
      </text>
    </comment>
    <comment authorId="0" ref="Q15">
      <text>
        <t xml:space="preserve">======
ID#AAAB3GWAIbc
Juan Cruz Ziccardi    (2026-04-07 13:20:55)
Sophos</t>
      </text>
    </comment>
    <comment authorId="0" ref="N22">
      <text>
        <t xml:space="preserve">======
ID#AAAB25nVh9U
Juan Cruz Ziccardi    (2026-04-01 18:37:32)
Pago 50% Balance Think B</t>
      </text>
    </comment>
    <comment authorId="0" ref="P25">
      <text>
        <t xml:space="preserve">======
ID#AAAB4SLxxrk
Juan Cruz Ziccardi    (2026-03-31 16:39:18)
3130000 a CC Pat para sueldos
550000 a CC Galicia por apertura</t>
      </text>
    </comment>
    <comment authorId="0" ref="O9">
      <text>
        <t xml:space="preserve">======
ID#AAAB2h0vP6Y
Juan Cruz Ziccardi    (2026-03-25 16:42:50)
Pago Parcial, faltan $200.000</t>
      </text>
    </comment>
    <comment authorId="0" ref="N15">
      <text>
        <t xml:space="preserve">======
ID#AAAB184vxpc
Juan Cruz Ziccardi    (2026-03-16 16:26:29)
Agustin Alfieri?</t>
      </text>
    </comment>
    <comment authorId="0" ref="L15">
      <text>
        <t xml:space="preserve">======
ID#AAABvn7Sqx0
Juan Cruz Ziccardi    (2026-03-03 15:37:42)
Sophos</t>
      </text>
    </comment>
    <comment authorId="0" ref="H32">
      <text>
        <t xml:space="preserve">======
ID#AAABvJTZ9ZQ
Mailén Brandao    (2026-02-02 14:16:03)
Revisar</t>
      </text>
    </comment>
    <comment authorId="0" ref="H31">
      <text>
        <t xml:space="preserve">======
ID#AAABzFozXA4
Mailén Brandao    (2026-01-26 23:48:24)
Vino en la MC Mai</t>
      </text>
    </comment>
  </commentList>
  <extLst>
    <ext uri="GoogleSheetsCustomDataVersion2">
      <go:sheetsCustomData xmlns:go="http://customooxmlschemas.google.com/" r:id="rId1" roundtripDataSignature="AMtx7mhU1eRR+7e1q6jVQ+0veozS9h+40Q=="/>
    </ext>
  </extLst>
</comments>
</file>

<file path=xl/sharedStrings.xml><?xml version="1.0" encoding="utf-8"?>
<sst xmlns="http://schemas.openxmlformats.org/spreadsheetml/2006/main" count="295" uniqueCount="148">
  <si>
    <t>LUNES</t>
  </si>
  <si>
    <t>Saldo inicial</t>
  </si>
  <si>
    <t>INGRESOS</t>
  </si>
  <si>
    <t>Ingresos</t>
  </si>
  <si>
    <t>AYAX</t>
  </si>
  <si>
    <t>Suprasafe</t>
  </si>
  <si>
    <t>Lamy</t>
  </si>
  <si>
    <t>Edding CO</t>
  </si>
  <si>
    <t>Maped</t>
  </si>
  <si>
    <t>Entelai</t>
  </si>
  <si>
    <t>Vision Care - Marsa SRL</t>
  </si>
  <si>
    <t>P4C</t>
  </si>
  <si>
    <t>SIIB</t>
  </si>
  <si>
    <t>Clinica Raña</t>
  </si>
  <si>
    <t>Utalk</t>
  </si>
  <si>
    <t>Sowtgen</t>
  </si>
  <si>
    <t>Hostings</t>
  </si>
  <si>
    <t>Setama</t>
  </si>
  <si>
    <t>Pan Fresh</t>
  </si>
  <si>
    <t>Felanix</t>
  </si>
  <si>
    <t xml:space="preserve">Esporádico </t>
  </si>
  <si>
    <t>Plazo Fijo</t>
  </si>
  <si>
    <t>FCI - Rescate</t>
  </si>
  <si>
    <t>Aportes Societarios</t>
  </si>
  <si>
    <t>Subtotal ingresos</t>
  </si>
  <si>
    <t>Egresos</t>
  </si>
  <si>
    <t>EGRESOS</t>
  </si>
  <si>
    <t>Valentina Producciones</t>
  </si>
  <si>
    <t>Florencia producciones</t>
  </si>
  <si>
    <t>Fernando Capello</t>
  </si>
  <si>
    <t>Ezequiel Cilleros</t>
  </si>
  <si>
    <t>Juan Spadoni</t>
  </si>
  <si>
    <t>Juan Manuel Soto</t>
  </si>
  <si>
    <t>Consultoria Archgroup</t>
  </si>
  <si>
    <t>Elina Pascucci</t>
  </si>
  <si>
    <t>Pablo</t>
  </si>
  <si>
    <t>Contadora</t>
  </si>
  <si>
    <t>Ya comunica</t>
  </si>
  <si>
    <t>Banco Galicia Kyra</t>
  </si>
  <si>
    <t>Otros</t>
  </si>
  <si>
    <t>CRÉDITOS</t>
  </si>
  <si>
    <t>TC Patagonia</t>
  </si>
  <si>
    <t>IMPUESTOS</t>
  </si>
  <si>
    <t>IVA</t>
  </si>
  <si>
    <t>Autonomos</t>
  </si>
  <si>
    <t>Impuesto a las ganancias</t>
  </si>
  <si>
    <t>Impuesto Db/Cr</t>
  </si>
  <si>
    <t>Ret IIBB SIRCREB</t>
  </si>
  <si>
    <t>Ingresos Brutos</t>
  </si>
  <si>
    <t>SUELDOS Y RETIROS</t>
  </si>
  <si>
    <t>Virginia Molinelli</t>
  </si>
  <si>
    <t>Susana Sushi</t>
  </si>
  <si>
    <t>Luciano Gramajo</t>
  </si>
  <si>
    <t>Mailén</t>
  </si>
  <si>
    <t>Melisa</t>
  </si>
  <si>
    <t>Eliana</t>
  </si>
  <si>
    <t>Juan Cruz Ziccardi</t>
  </si>
  <si>
    <t>Micaela Lazcano</t>
  </si>
  <si>
    <t>Subtotal egresos</t>
  </si>
  <si>
    <t>Saldo final</t>
  </si>
  <si>
    <r>
      <rPr>
        <rFont val="Aptos Narrow"/>
        <color rgb="FFFF0000"/>
        <sz val="11.0"/>
      </rPr>
      <t>*</t>
    </r>
    <r>
      <rPr>
        <rFont val="Aptos Narrow"/>
        <color theme="1"/>
        <sz val="11.0"/>
      </rPr>
      <t xml:space="preserve"> Los números en rojo son estimaciones, ya que aún no están los valores definitivos</t>
    </r>
  </si>
  <si>
    <r>
      <rPr>
        <rFont val="Aptos Narrow"/>
        <color rgb="FFFF0000"/>
        <sz val="11.0"/>
      </rPr>
      <t xml:space="preserve">* </t>
    </r>
    <r>
      <rPr>
        <rFont val="Aptos Narrow"/>
        <color theme="1"/>
        <sz val="11.0"/>
      </rPr>
      <t>El flujo de fondos contiene unicamente datos de cuentas bancarias de la sociedad</t>
    </r>
  </si>
  <si>
    <t>Ultima Actualizacion:</t>
  </si>
  <si>
    <t>11/5/26 - 11.00 HS</t>
  </si>
  <si>
    <t>Cuota 3- 28 de febrero del 2026-2.550 USD</t>
  </si>
  <si>
    <t>Cuota 4- 28 de mayo del 2026-2.550 USD</t>
  </si>
  <si>
    <t>Cuenta Kyra Patagonia</t>
  </si>
  <si>
    <t>Tiago Quijano</t>
  </si>
  <si>
    <t>Pablo Powazniak</t>
  </si>
  <si>
    <r>
      <rPr>
        <rFont val="Aptos Narrow"/>
        <color rgb="FFFF0000"/>
        <sz val="11.0"/>
      </rPr>
      <t>*</t>
    </r>
    <r>
      <rPr>
        <rFont val="Aptos Narrow"/>
        <color theme="1"/>
        <sz val="11.0"/>
      </rPr>
      <t xml:space="preserve"> Los números en rojo son estimaciones, ya que aún no están los valores definitivos</t>
    </r>
  </si>
  <si>
    <r>
      <rPr>
        <rFont val="Aptos Narrow"/>
        <color rgb="FFFF0000"/>
        <sz val="11.0"/>
      </rPr>
      <t xml:space="preserve">* </t>
    </r>
    <r>
      <rPr>
        <rFont val="Aptos Narrow"/>
        <color theme="1"/>
        <sz val="11.0"/>
      </rPr>
      <t>El flujo de fondos contiene unicamente datos de cuentas bancarias de la sociedad</t>
    </r>
  </si>
  <si>
    <t>SCS</t>
  </si>
  <si>
    <t>Dra Mariana Rojas</t>
  </si>
  <si>
    <t>Laura Di Cola</t>
  </si>
  <si>
    <t>CIPA</t>
  </si>
  <si>
    <t>THC</t>
  </si>
  <si>
    <t>Andrea Santi - Optica</t>
  </si>
  <si>
    <t>Hoelters</t>
  </si>
  <si>
    <t>Ajustes FCI + Acreditación de intereses</t>
  </si>
  <si>
    <t>Rescates de FCI</t>
  </si>
  <si>
    <t>Comision s/Orden de Pago</t>
  </si>
  <si>
    <t>---</t>
  </si>
  <si>
    <t>Suscripción a FCI</t>
  </si>
  <si>
    <t>Aportes societarios</t>
  </si>
  <si>
    <t>TC</t>
  </si>
  <si>
    <t>Adobe</t>
  </si>
  <si>
    <t>Perfit</t>
  </si>
  <si>
    <t>Compras edding CO + Maped</t>
  </si>
  <si>
    <t>Fiesta fin de año</t>
  </si>
  <si>
    <t>Transferencia de Deuda</t>
  </si>
  <si>
    <t>Hostinger - P4C</t>
  </si>
  <si>
    <t>Impuestos TC</t>
  </si>
  <si>
    <t>Monotributo Mai</t>
  </si>
  <si>
    <t>Monotributo Ger</t>
  </si>
  <si>
    <t>Autonomos Mai</t>
  </si>
  <si>
    <t>Autonomos Ger</t>
  </si>
  <si>
    <t>Santiago Beitia</t>
  </si>
  <si>
    <t>Administración</t>
  </si>
  <si>
    <t>German</t>
  </si>
  <si>
    <t>-</t>
  </si>
  <si>
    <r>
      <rPr>
        <rFont val="Aptos Narrow"/>
        <color rgb="FFFF0000"/>
        <sz val="11.0"/>
      </rPr>
      <t>*</t>
    </r>
    <r>
      <rPr>
        <rFont val="Aptos Narrow"/>
        <color theme="1"/>
        <sz val="11.0"/>
      </rPr>
      <t xml:space="preserve"> Los números en rojo son estimaciones, ya que aún no están los valores definitivos</t>
    </r>
  </si>
  <si>
    <r>
      <rPr>
        <rFont val="Aptos Narrow"/>
        <color rgb="FFFF0000"/>
        <sz val="11.0"/>
      </rPr>
      <t xml:space="preserve">* </t>
    </r>
    <r>
      <rPr>
        <rFont val="Aptos Narrow"/>
        <color theme="1"/>
        <sz val="11.0"/>
      </rPr>
      <t>El flujo de fondos contiene unicamente datos de cuentas bancarias de la sociedad</t>
    </r>
  </si>
  <si>
    <t>FCI</t>
  </si>
  <si>
    <t>Suscripciones</t>
  </si>
  <si>
    <t>Rescates</t>
  </si>
  <si>
    <t>Ajustes por redondeo</t>
  </si>
  <si>
    <t>Ajustes GAN/PER</t>
  </si>
  <si>
    <t>Alaiab</t>
  </si>
  <si>
    <t>Acreditación de intereses</t>
  </si>
  <si>
    <t>Notion</t>
  </si>
  <si>
    <t>Gamma</t>
  </si>
  <si>
    <t>Chat GPT</t>
  </si>
  <si>
    <t>LLC</t>
  </si>
  <si>
    <t>Freepik</t>
  </si>
  <si>
    <t>Compra Tecnologia Kyra</t>
  </si>
  <si>
    <t>Claude</t>
  </si>
  <si>
    <t>Google</t>
  </si>
  <si>
    <t>Apple + Gamma</t>
  </si>
  <si>
    <r>
      <rPr>
        <rFont val="Aptos Narrow"/>
        <color rgb="FFFF0000"/>
        <sz val="11.0"/>
      </rPr>
      <t>*</t>
    </r>
    <r>
      <rPr>
        <rFont val="Aptos Narrow"/>
        <color theme="1"/>
        <sz val="11.0"/>
      </rPr>
      <t xml:space="preserve"> Los números en rojo son estimaciones, ya que aún no están los valores definitivos</t>
    </r>
  </si>
  <si>
    <r>
      <rPr>
        <rFont val="Aptos Narrow"/>
        <color rgb="FFFF0000"/>
        <sz val="11.0"/>
      </rPr>
      <t xml:space="preserve">* </t>
    </r>
    <r>
      <rPr>
        <rFont val="Aptos Narrow"/>
        <color theme="1"/>
        <sz val="11.0"/>
      </rPr>
      <t>El flujo de fondos contiene unicamente datos de cuentas bancarias de la sociedad</t>
    </r>
  </si>
  <si>
    <t>8/5/26 - 12.00 HS</t>
  </si>
  <si>
    <t>Pago Visa electronico</t>
  </si>
  <si>
    <t>Pago Master electronico</t>
  </si>
  <si>
    <r>
      <rPr>
        <rFont val="Aptos Narrow"/>
        <color rgb="FFFF0000"/>
        <sz val="11.0"/>
      </rPr>
      <t>*</t>
    </r>
    <r>
      <rPr>
        <rFont val="Aptos Narrow"/>
        <color theme="1"/>
        <sz val="11.0"/>
      </rPr>
      <t xml:space="preserve"> Los números en rojo son estimaciones, ya que aún no están los valores definitivos</t>
    </r>
  </si>
  <si>
    <r>
      <rPr>
        <rFont val="Aptos Narrow"/>
        <color rgb="FFFF0000"/>
        <sz val="11.0"/>
      </rPr>
      <t xml:space="preserve">* </t>
    </r>
    <r>
      <rPr>
        <rFont val="Aptos Narrow"/>
        <color theme="1"/>
        <sz val="11.0"/>
      </rPr>
      <t>El flujo de fondos contiene unicamente datos de cuentas bancarias de la sociedad</t>
    </r>
  </si>
  <si>
    <t>ENERO</t>
  </si>
  <si>
    <t>FEBERO</t>
  </si>
  <si>
    <t>MARZO</t>
  </si>
  <si>
    <t>ABRIL</t>
  </si>
  <si>
    <t>MAYO</t>
  </si>
  <si>
    <t>JUNIO</t>
  </si>
  <si>
    <t>JULIO</t>
  </si>
  <si>
    <t>Gasto</t>
  </si>
  <si>
    <t>USD</t>
  </si>
  <si>
    <t>$</t>
  </si>
  <si>
    <t>Compras de productos</t>
  </si>
  <si>
    <t>Impuesto de sellos</t>
  </si>
  <si>
    <t>IIBB Percepcion BSAS</t>
  </si>
  <si>
    <t>DB RG 5617</t>
  </si>
  <si>
    <t>-----</t>
  </si>
  <si>
    <t>Subtotal por Moneda</t>
  </si>
  <si>
    <t>Cotizacion USD</t>
  </si>
  <si>
    <t>Subtotal el $</t>
  </si>
  <si>
    <r>
      <rPr>
        <rFont val="Aptos Narrow"/>
        <color rgb="FFFF0000"/>
        <sz val="11.0"/>
      </rPr>
      <t>*</t>
    </r>
    <r>
      <rPr>
        <rFont val="Aptos Narrow"/>
        <color theme="1"/>
        <sz val="11.0"/>
      </rPr>
      <t xml:space="preserve"> Los números en rojo son estimaciones, ya que aún no están los valores definitivos</t>
    </r>
  </si>
  <si>
    <r>
      <rPr>
        <rFont val="Aptos Narrow"/>
        <color rgb="FFFF0000"/>
        <sz val="11.0"/>
      </rPr>
      <t xml:space="preserve">* </t>
    </r>
    <r>
      <rPr>
        <rFont val="Aptos Narrow"/>
        <color theme="1"/>
        <sz val="11.0"/>
      </rPr>
      <t>El flujo de fondos contiene unicamente datos de cuentas bancarias de la sociedad</t>
    </r>
  </si>
  <si>
    <t>Desaprop</t>
  </si>
  <si>
    <t>Sueldo Mai</t>
  </si>
  <si>
    <t>16/3/26 - 13.30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</si>
</sst>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* #,##0.00_-;\-&quot;$&quot;* #,##0.00_-;_-&quot;$&quot;* &quot;-&quot;??.00_-;_-@"/>
    <numFmt numFmtId="165" formatCode="d/M/yyyy"/>
    <numFmt numFmtId="166" formatCode="[$USD ]#,##0.00"/>
    <numFmt numFmtId="167" formatCode="[$ $]#,##0.00"/>
  </numFmts>
  <fonts count="18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b/>
      <i/>
      <u/>
      <sz val="11.0"/>
      <color theme="1"/>
      <name val="Aptos Narrow"/>
    </font>
    <font>
      <sz val="11.0"/>
      <color theme="1"/>
      <name val="Arial"/>
    </font>
    <font>
      <b/>
      <i/>
      <u/>
      <sz val="11.0"/>
      <color theme="1"/>
      <name val="Aptos Narrow"/>
    </font>
    <font/>
    <font>
      <b/>
      <sz val="10.0"/>
      <color theme="1"/>
      <name val="Aptos Narrow"/>
    </font>
    <font>
      <color theme="1"/>
      <name val="Aptos Narrow"/>
    </font>
    <font>
      <color theme="1"/>
      <name val="Arial"/>
    </font>
    <font>
      <color rgb="FF222222"/>
      <name val="Arial"/>
    </font>
    <font>
      <b/>
      <i/>
      <u/>
      <sz val="11.0"/>
      <color theme="1"/>
      <name val="Aptos Narrow"/>
    </font>
    <font>
      <sz val="11.0"/>
      <color rgb="FF006100"/>
      <name val="Arial"/>
    </font>
    <font>
      <b/>
      <i/>
      <u/>
      <sz val="11.0"/>
      <color theme="1"/>
      <name val="Aptos Narrow"/>
    </font>
    <font>
      <b/>
      <sz val="8.0"/>
      <color theme="1"/>
      <name val="Aptos Narrow"/>
    </font>
    <font>
      <b/>
      <i/>
      <u/>
      <sz val="11.0"/>
      <color theme="1"/>
      <name val="Arial"/>
    </font>
    <font>
      <b/>
      <i/>
      <u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E3CAFA"/>
        <bgColor rgb="FFE3CAFA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56">
    <border/>
    <border>
      <left/>
      <right/>
      <top/>
      <bottom/>
    </border>
    <border>
      <left/>
      <right/>
      <top/>
    </border>
    <border>
      <lef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</border>
    <border>
      <left/>
    </border>
    <border>
      <left style="medium">
        <color rgb="FF000000"/>
      </left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/>
    </border>
    <border>
      <left style="medium">
        <color rgb="FF000000"/>
      </left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bottom/>
    </border>
    <border>
      <left/>
      <right/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/>
      <bottom/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/>
      <top/>
      <bottom/>
    </border>
    <border>
      <lef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right/>
      <top/>
    </border>
    <border>
      <lef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164" xfId="0" applyBorder="1" applyFill="1" applyFont="1" applyNumberFormat="1"/>
    <xf borderId="1" fillId="2" fontId="2" numFmtId="164" xfId="0" applyAlignment="1" applyBorder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165" xfId="0" applyBorder="1" applyFont="1" applyNumberFormat="1"/>
    <xf borderId="2" fillId="2" fontId="2" numFmtId="165" xfId="0" applyAlignment="1" applyBorder="1" applyFont="1" applyNumberFormat="1">
      <alignment horizontal="center"/>
    </xf>
    <xf borderId="2" fillId="2" fontId="1" numFmtId="165" xfId="0" applyAlignment="1" applyBorder="1" applyFont="1" applyNumberFormat="1">
      <alignment horizontal="center"/>
    </xf>
    <xf borderId="1" fillId="2" fontId="3" numFmtId="164" xfId="0" applyBorder="1" applyFont="1" applyNumberFormat="1"/>
    <xf borderId="3" fillId="2" fontId="3" numFmtId="164" xfId="0" applyBorder="1" applyFont="1" applyNumberFormat="1"/>
    <xf borderId="0" fillId="2" fontId="3" numFmtId="164" xfId="0" applyFont="1" applyNumberFormat="1"/>
    <xf borderId="4" fillId="2" fontId="3" numFmtId="164" xfId="0" applyBorder="1" applyFont="1" applyNumberFormat="1"/>
    <xf borderId="5" fillId="2" fontId="4" numFmtId="164" xfId="0" applyBorder="1" applyFont="1" applyNumberFormat="1"/>
    <xf borderId="5" fillId="2" fontId="5" numFmtId="164" xfId="0" applyAlignment="1" applyBorder="1" applyFont="1" applyNumberFormat="1">
      <alignment readingOrder="0"/>
    </xf>
    <xf borderId="5" fillId="2" fontId="3" numFmtId="164" xfId="0" applyBorder="1" applyFont="1" applyNumberFormat="1"/>
    <xf borderId="6" fillId="2" fontId="3" numFmtId="164" xfId="0" applyBorder="1" applyFont="1" applyNumberFormat="1"/>
    <xf borderId="6" fillId="2" fontId="3" numFmtId="164" xfId="0" applyAlignment="1" applyBorder="1" applyFont="1" applyNumberFormat="1">
      <alignment vertical="bottom"/>
    </xf>
    <xf borderId="7" fillId="2" fontId="1" numFmtId="164" xfId="0" applyAlignment="1" applyBorder="1" applyFont="1" applyNumberFormat="1">
      <alignment horizontal="center" textRotation="90" vertical="center"/>
    </xf>
    <xf borderId="8" fillId="2" fontId="6" numFmtId="164" xfId="0" applyBorder="1" applyFont="1" applyNumberFormat="1"/>
    <xf borderId="9" fillId="2" fontId="3" numFmtId="164" xfId="0" applyBorder="1" applyFont="1" applyNumberFormat="1"/>
    <xf borderId="1" fillId="2" fontId="5" numFmtId="164" xfId="0" applyBorder="1" applyFont="1" applyNumberFormat="1"/>
    <xf borderId="10" fillId="0" fontId="7" numFmtId="0" xfId="0" applyBorder="1" applyFont="1"/>
    <xf borderId="3" fillId="2" fontId="5" numFmtId="164" xfId="0" applyBorder="1" applyFont="1" applyNumberFormat="1"/>
    <xf borderId="1" fillId="2" fontId="5" numFmtId="164" xfId="0" applyAlignment="1" applyBorder="1" applyFont="1" applyNumberFormat="1">
      <alignment readingOrder="0"/>
    </xf>
    <xf borderId="11" fillId="0" fontId="7" numFmtId="0" xfId="0" applyBorder="1" applyFont="1"/>
    <xf borderId="12" fillId="2" fontId="1" numFmtId="164" xfId="0" applyBorder="1" applyFont="1" applyNumberFormat="1"/>
    <xf borderId="13" fillId="2" fontId="3" numFmtId="164" xfId="0" applyBorder="1" applyFont="1" applyNumberFormat="1"/>
    <xf borderId="9" fillId="2" fontId="5" numFmtId="164" xfId="0" applyBorder="1" applyFont="1" applyNumberFormat="1"/>
    <xf borderId="14" fillId="2" fontId="2" numFmtId="164" xfId="0" applyAlignment="1" applyBorder="1" applyFont="1" applyNumberFormat="1">
      <alignment horizontal="center" shrinkToFit="0" textRotation="90" vertical="center" wrapText="1"/>
    </xf>
    <xf borderId="3" fillId="2" fontId="5" numFmtId="164" xfId="0" applyAlignment="1" applyBorder="1" applyFont="1" applyNumberFormat="1">
      <alignment readingOrder="0"/>
    </xf>
    <xf borderId="2" fillId="2" fontId="3" numFmtId="164" xfId="0" applyBorder="1" applyFont="1" applyNumberFormat="1"/>
    <xf borderId="2" fillId="2" fontId="5" numFmtId="164" xfId="0" applyBorder="1" applyFont="1" applyNumberFormat="1"/>
    <xf borderId="15" fillId="2" fontId="5" numFmtId="164" xfId="0" applyBorder="1" applyFont="1" applyNumberFormat="1"/>
    <xf borderId="16" fillId="0" fontId="7" numFmtId="0" xfId="0" applyBorder="1" applyFont="1"/>
    <xf borderId="17" fillId="2" fontId="5" numFmtId="164" xfId="0" applyBorder="1" applyFont="1" applyNumberFormat="1"/>
    <xf borderId="16" fillId="2" fontId="1" numFmtId="164" xfId="0" applyAlignment="1" applyBorder="1" applyFont="1" applyNumberFormat="1">
      <alignment horizontal="center" shrinkToFit="0" textRotation="90" vertical="center" wrapText="1"/>
    </xf>
    <xf borderId="18" fillId="2" fontId="3" numFmtId="164" xfId="0" applyAlignment="1" applyBorder="1" applyFont="1" applyNumberFormat="1">
      <alignment vertical="center"/>
    </xf>
    <xf borderId="19" fillId="2" fontId="3" numFmtId="164" xfId="0" applyBorder="1" applyFont="1" applyNumberFormat="1"/>
    <xf borderId="19" fillId="2" fontId="5" numFmtId="164" xfId="0" applyAlignment="1" applyBorder="1" applyFont="1" applyNumberFormat="1">
      <alignment vertical="center"/>
    </xf>
    <xf borderId="19" fillId="2" fontId="3" numFmtId="164" xfId="0" applyAlignment="1" applyBorder="1" applyFont="1" applyNumberFormat="1">
      <alignment horizontal="center" vertical="center"/>
    </xf>
    <xf borderId="20" fillId="2" fontId="1" numFmtId="164" xfId="0" applyAlignment="1" applyBorder="1" applyFont="1" applyNumberFormat="1">
      <alignment horizontal="center" shrinkToFit="0" textRotation="90" vertical="center" wrapText="1"/>
    </xf>
    <xf borderId="21" fillId="2" fontId="5" numFmtId="164" xfId="0" applyBorder="1" applyFont="1" applyNumberFormat="1"/>
    <xf borderId="20" fillId="2" fontId="8" numFmtId="164" xfId="0" applyAlignment="1" applyBorder="1" applyFont="1" applyNumberFormat="1">
      <alignment horizontal="center" shrinkToFit="0" textRotation="90" vertical="center" wrapText="1"/>
    </xf>
    <xf borderId="22" fillId="2" fontId="5" numFmtId="164" xfId="0" applyAlignment="1" applyBorder="1" applyFont="1" applyNumberFormat="1">
      <alignment readingOrder="0"/>
    </xf>
    <xf borderId="23" fillId="2" fontId="5" numFmtId="164" xfId="0" applyBorder="1" applyFont="1" applyNumberFormat="1"/>
    <xf borderId="15" fillId="2" fontId="5" numFmtId="164" xfId="0" applyAlignment="1" applyBorder="1" applyFont="1" applyNumberFormat="1">
      <alignment readingOrder="0"/>
    </xf>
    <xf borderId="24" fillId="2" fontId="3" numFmtId="164" xfId="0" applyBorder="1" applyFont="1" applyNumberFormat="1"/>
    <xf borderId="25" fillId="2" fontId="3" numFmtId="164" xfId="0" applyBorder="1" applyFont="1" applyNumberFormat="1"/>
    <xf borderId="0" fillId="0" fontId="3" numFmtId="164" xfId="0" applyFont="1" applyNumberFormat="1"/>
    <xf borderId="0" fillId="0" fontId="9" numFmtId="164" xfId="0" applyFont="1" applyNumberFormat="1"/>
    <xf borderId="0" fillId="0" fontId="10" numFmtId="164" xfId="0" applyFont="1" applyNumberFormat="1"/>
    <xf borderId="0" fillId="3" fontId="11" numFmtId="164" xfId="0" applyFill="1" applyFont="1" applyNumberFormat="1"/>
    <xf borderId="5" fillId="2" fontId="5" numFmtId="164" xfId="0" applyBorder="1" applyFont="1" applyNumberFormat="1"/>
    <xf borderId="3" fillId="4" fontId="5" numFmtId="164" xfId="0" applyAlignment="1" applyBorder="1" applyFill="1" applyFont="1" applyNumberFormat="1">
      <alignment readingOrder="0"/>
    </xf>
    <xf borderId="1" fillId="4" fontId="5" numFmtId="164" xfId="0" applyAlignment="1" applyBorder="1" applyFont="1" applyNumberFormat="1">
      <alignment readingOrder="0"/>
    </xf>
    <xf borderId="1" fillId="3" fontId="5" numFmtId="164" xfId="0" applyAlignment="1" applyBorder="1" applyFont="1" applyNumberFormat="1">
      <alignment readingOrder="0"/>
    </xf>
    <xf borderId="22" fillId="2" fontId="5" numFmtId="164" xfId="0" applyBorder="1" applyFont="1" applyNumberFormat="1"/>
    <xf borderId="1" fillId="2" fontId="1" numFmtId="0" xfId="0" applyBorder="1" applyFont="1"/>
    <xf borderId="3" fillId="2" fontId="1" numFmtId="164" xfId="0" applyAlignment="1" applyBorder="1" applyFont="1" applyNumberFormat="1">
      <alignment horizontal="center" vertical="center"/>
    </xf>
    <xf borderId="1" fillId="2" fontId="1" numFmtId="16" xfId="0" applyAlignment="1" applyBorder="1" applyFont="1" applyNumberFormat="1">
      <alignment horizontal="center"/>
    </xf>
    <xf borderId="3" fillId="2" fontId="1" numFmtId="16" xfId="0" applyAlignment="1" applyBorder="1" applyFont="1" applyNumberFormat="1">
      <alignment horizontal="center"/>
    </xf>
    <xf borderId="1" fillId="2" fontId="3" numFmtId="0" xfId="0" applyBorder="1" applyFont="1"/>
    <xf borderId="1" fillId="2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4" fillId="2" fontId="3" numFmtId="0" xfId="0" applyBorder="1" applyFont="1"/>
    <xf borderId="5" fillId="2" fontId="12" numFmtId="0" xfId="0" applyBorder="1" applyFont="1"/>
    <xf borderId="5" fillId="4" fontId="13" numFmtId="164" xfId="0" applyAlignment="1" applyBorder="1" applyFont="1" applyNumberFormat="1">
      <alignment readingOrder="0"/>
    </xf>
    <xf borderId="1" fillId="2" fontId="3" numFmtId="164" xfId="0" applyAlignment="1" applyBorder="1" applyFont="1" applyNumberFormat="1">
      <alignment vertical="bottom"/>
    </xf>
    <xf borderId="7" fillId="2" fontId="1" numFmtId="0" xfId="0" applyAlignment="1" applyBorder="1" applyFont="1">
      <alignment horizontal="center" textRotation="90" vertical="center"/>
    </xf>
    <xf borderId="8" fillId="2" fontId="14" numFmtId="0" xfId="0" applyBorder="1" applyFont="1"/>
    <xf borderId="8" fillId="2" fontId="3" numFmtId="164" xfId="0" applyAlignment="1" applyBorder="1" applyFont="1" applyNumberFormat="1">
      <alignment vertical="bottom"/>
    </xf>
    <xf borderId="1" fillId="2" fontId="5" numFmtId="164" xfId="0" applyAlignment="1" applyBorder="1" applyFont="1" applyNumberFormat="1">
      <alignment horizontal="right" vertical="bottom"/>
    </xf>
    <xf borderId="1" fillId="2" fontId="5" numFmtId="0" xfId="0" applyBorder="1" applyFont="1"/>
    <xf borderId="1" fillId="4" fontId="5" numFmtId="164" xfId="0" applyAlignment="1" applyBorder="1" applyFont="1" applyNumberFormat="1">
      <alignment horizontal="right" readingOrder="0" vertical="bottom"/>
    </xf>
    <xf borderId="23" fillId="4" fontId="5" numFmtId="164" xfId="0" applyAlignment="1" applyBorder="1" applyFont="1" applyNumberFormat="1">
      <alignment horizontal="right" readingOrder="0" vertical="bottom"/>
    </xf>
    <xf borderId="12" fillId="2" fontId="1" numFmtId="0" xfId="0" applyBorder="1" applyFont="1"/>
    <xf borderId="13" fillId="2" fontId="3" numFmtId="0" xfId="0" applyBorder="1" applyFont="1"/>
    <xf borderId="8" fillId="2" fontId="3" numFmtId="164" xfId="0" applyBorder="1" applyFont="1" applyNumberFormat="1"/>
    <xf borderId="14" fillId="2" fontId="2" numFmtId="0" xfId="0" applyAlignment="1" applyBorder="1" applyFont="1">
      <alignment horizontal="center" shrinkToFit="0" textRotation="90" vertical="center" wrapText="1"/>
    </xf>
    <xf borderId="1" fillId="2" fontId="5" numFmtId="164" xfId="0" applyAlignment="1" applyBorder="1" applyFont="1" applyNumberFormat="1">
      <alignment horizontal="right" readingOrder="0" vertical="bottom"/>
    </xf>
    <xf borderId="26" fillId="2" fontId="5" numFmtId="0" xfId="0" applyBorder="1" applyFont="1"/>
    <xf borderId="26" fillId="2" fontId="3" numFmtId="164" xfId="0" applyBorder="1" applyFont="1" applyNumberFormat="1"/>
    <xf borderId="26" fillId="4" fontId="5" numFmtId="164" xfId="0" applyAlignment="1" applyBorder="1" applyFont="1" applyNumberFormat="1">
      <alignment readingOrder="0"/>
    </xf>
    <xf borderId="0" fillId="2" fontId="5" numFmtId="0" xfId="0" applyFont="1"/>
    <xf borderId="8" fillId="4" fontId="5" numFmtId="164" xfId="0" applyAlignment="1" applyBorder="1" applyFont="1" applyNumberFormat="1">
      <alignment readingOrder="0"/>
    </xf>
    <xf borderId="0" fillId="4" fontId="5" numFmtId="164" xfId="0" applyAlignment="1" applyFont="1" applyNumberFormat="1">
      <alignment readingOrder="0"/>
    </xf>
    <xf borderId="2" fillId="2" fontId="5" numFmtId="0" xfId="0" applyBorder="1" applyFont="1"/>
    <xf borderId="2" fillId="4" fontId="5" numFmtId="164" xfId="0" applyBorder="1" applyFont="1" applyNumberFormat="1"/>
    <xf borderId="10" fillId="2" fontId="15" numFmtId="0" xfId="0" applyAlignment="1" applyBorder="1" applyFont="1">
      <alignment horizontal="center" shrinkToFit="0" textRotation="90" vertical="center" wrapText="1"/>
    </xf>
    <xf borderId="18" fillId="2" fontId="5" numFmtId="0" xfId="0" applyBorder="1" applyFont="1"/>
    <xf borderId="27" fillId="2" fontId="3" numFmtId="164" xfId="0" applyBorder="1" applyFont="1" applyNumberFormat="1"/>
    <xf borderId="27" fillId="4" fontId="5" numFmtId="164" xfId="0" applyAlignment="1" applyBorder="1" applyFont="1" applyNumberFormat="1">
      <alignment readingOrder="0"/>
    </xf>
    <xf borderId="28" fillId="2" fontId="5" numFmtId="0" xfId="0" applyBorder="1" applyFont="1"/>
    <xf borderId="28" fillId="4" fontId="5" numFmtId="164" xfId="0" applyAlignment="1" applyBorder="1" applyFont="1" applyNumberFormat="1">
      <alignment readingOrder="0"/>
    </xf>
    <xf borderId="10" fillId="2" fontId="8" numFmtId="0" xfId="0" applyAlignment="1" applyBorder="1" applyFont="1">
      <alignment horizontal="center" shrinkToFit="0" textRotation="90" vertical="center" wrapText="1"/>
    </xf>
    <xf borderId="27" fillId="2" fontId="5" numFmtId="0" xfId="0" applyBorder="1" applyFont="1"/>
    <xf borderId="17" fillId="2" fontId="5" numFmtId="0" xfId="0" applyBorder="1" applyFont="1"/>
    <xf borderId="24" fillId="2" fontId="3" numFmtId="0" xfId="0" applyBorder="1" applyFont="1"/>
    <xf borderId="3" fillId="2" fontId="3" numFmtId="164" xfId="0" applyAlignment="1" applyBorder="1" applyFont="1" applyNumberFormat="1">
      <alignment vertical="bottom"/>
    </xf>
    <xf borderId="0" fillId="2" fontId="3" numFmtId="164" xfId="0" applyAlignment="1" applyFont="1" applyNumberFormat="1">
      <alignment vertical="bottom"/>
    </xf>
    <xf borderId="7" fillId="2" fontId="1" numFmtId="0" xfId="0" applyAlignment="1" applyBorder="1" applyFont="1">
      <alignment horizontal="center" shrinkToFit="0" textRotation="90" vertical="center" wrapText="1"/>
    </xf>
    <xf borderId="8" fillId="2" fontId="3" numFmtId="0" xfId="0" applyBorder="1" applyFont="1"/>
    <xf borderId="29" fillId="2" fontId="2" numFmtId="164" xfId="0" applyAlignment="1" applyBorder="1" applyFont="1" applyNumberFormat="1">
      <alignment readingOrder="0"/>
    </xf>
    <xf borderId="29" fillId="2" fontId="1" numFmtId="164" xfId="0" applyBorder="1" applyFont="1" applyNumberFormat="1"/>
    <xf borderId="30" fillId="2" fontId="1" numFmtId="164" xfId="0" applyBorder="1" applyFont="1" applyNumberFormat="1"/>
    <xf borderId="26" fillId="2" fontId="3" numFmtId="0" xfId="0" applyBorder="1" applyFont="1"/>
    <xf borderId="0" fillId="0" fontId="3" numFmtId="0" xfId="0" applyFont="1"/>
    <xf borderId="5" fillId="2" fontId="5" numFmtId="166" xfId="0" applyAlignment="1" applyBorder="1" applyFont="1" applyNumberFormat="1">
      <alignment readingOrder="0"/>
    </xf>
    <xf borderId="5" fillId="2" fontId="3" numFmtId="166" xfId="0" applyBorder="1" applyFont="1" applyNumberFormat="1"/>
    <xf borderId="26" fillId="2" fontId="3" numFmtId="166" xfId="0" applyBorder="1" applyFont="1" applyNumberFormat="1"/>
    <xf borderId="27" fillId="2" fontId="5" numFmtId="166" xfId="0" applyBorder="1" applyFont="1" applyNumberFormat="1"/>
    <xf borderId="1" fillId="2" fontId="3" numFmtId="166" xfId="0" applyBorder="1" applyFont="1" applyNumberFormat="1"/>
    <xf borderId="12" fillId="2" fontId="1" numFmtId="166" xfId="0" applyBorder="1" applyFont="1" applyNumberFormat="1"/>
    <xf borderId="8" fillId="2" fontId="3" numFmtId="166" xfId="0" applyBorder="1" applyFont="1" applyNumberFormat="1"/>
    <xf borderId="20" fillId="2" fontId="2" numFmtId="0" xfId="0" applyAlignment="1" applyBorder="1" applyFont="1">
      <alignment horizontal="center" shrinkToFit="0" textRotation="90" vertical="center" wrapText="1"/>
    </xf>
    <xf borderId="21" fillId="2" fontId="5" numFmtId="0" xfId="0" applyBorder="1" applyFont="1"/>
    <xf borderId="21" fillId="2" fontId="3" numFmtId="166" xfId="0" applyBorder="1" applyFont="1" applyNumberFormat="1"/>
    <xf borderId="1" fillId="2" fontId="5" numFmtId="166" xfId="0" applyBorder="1" applyFont="1" applyNumberFormat="1"/>
    <xf borderId="10" fillId="2" fontId="2" numFmtId="0" xfId="0" applyAlignment="1" applyBorder="1" applyFont="1">
      <alignment horizontal="center" shrinkToFit="0" textRotation="90" vertical="center" wrapText="1"/>
    </xf>
    <xf borderId="23" fillId="2" fontId="5" numFmtId="0" xfId="0" applyBorder="1" applyFont="1"/>
    <xf borderId="23" fillId="2" fontId="5" numFmtId="166" xfId="0" applyBorder="1" applyFont="1" applyNumberFormat="1"/>
    <xf borderId="1" fillId="2" fontId="5" numFmtId="166" xfId="0" applyAlignment="1" applyBorder="1" applyFont="1" applyNumberFormat="1">
      <alignment readingOrder="0"/>
    </xf>
    <xf borderId="21" fillId="2" fontId="5" numFmtId="166" xfId="0" applyBorder="1" applyFont="1" applyNumberFormat="1"/>
    <xf borderId="3" fillId="2" fontId="2" numFmtId="164" xfId="0" applyAlignment="1" applyBorder="1" applyFont="1" applyNumberFormat="1">
      <alignment horizontal="center" vertical="center"/>
    </xf>
    <xf borderId="31" fillId="2" fontId="2" numFmtId="0" xfId="0" applyAlignment="1" applyBorder="1" applyFont="1">
      <alignment horizontal="center" vertical="center"/>
    </xf>
    <xf borderId="32" fillId="0" fontId="7" numFmtId="0" xfId="0" applyBorder="1" applyFont="1"/>
    <xf borderId="33" fillId="2" fontId="2" numFmtId="0" xfId="0" applyAlignment="1" applyBorder="1" applyFont="1">
      <alignment horizontal="center" vertical="center"/>
    </xf>
    <xf borderId="33" fillId="0" fontId="7" numFmtId="0" xfId="0" applyBorder="1" applyFont="1"/>
    <xf borderId="8" fillId="2" fontId="16" numFmtId="0" xfId="0" applyBorder="1" applyFont="1"/>
    <xf borderId="9" fillId="2" fontId="3" numFmtId="166" xfId="0" applyBorder="1" applyFont="1" applyNumberFormat="1"/>
    <xf borderId="34" fillId="2" fontId="5" numFmtId="166" xfId="0" applyAlignment="1" applyBorder="1" applyFont="1" applyNumberFormat="1">
      <alignment horizontal="center"/>
    </xf>
    <xf borderId="35" fillId="2" fontId="5" numFmtId="167" xfId="0" applyAlignment="1" applyBorder="1" applyFont="1" applyNumberFormat="1">
      <alignment horizontal="center"/>
    </xf>
    <xf borderId="36" fillId="2" fontId="5" numFmtId="166" xfId="0" applyAlignment="1" applyBorder="1" applyFont="1" applyNumberFormat="1">
      <alignment horizontal="center"/>
    </xf>
    <xf borderId="9" fillId="2" fontId="5" numFmtId="167" xfId="0" applyAlignment="1" applyBorder="1" applyFont="1" applyNumberFormat="1">
      <alignment horizontal="center"/>
    </xf>
    <xf borderId="37" fillId="2" fontId="5" numFmtId="166" xfId="0" applyAlignment="1" applyBorder="1" applyFont="1" applyNumberFormat="1">
      <alignment horizontal="center"/>
    </xf>
    <xf borderId="8" fillId="2" fontId="5" numFmtId="167" xfId="0" applyAlignment="1" applyBorder="1" applyFont="1" applyNumberFormat="1">
      <alignment horizontal="center"/>
    </xf>
    <xf borderId="22" fillId="4" fontId="5" numFmtId="166" xfId="0" applyBorder="1" applyFont="1" applyNumberFormat="1"/>
    <xf borderId="38" fillId="4" fontId="5" numFmtId="166" xfId="0" applyBorder="1" applyFont="1" applyNumberFormat="1"/>
    <xf borderId="39" fillId="2" fontId="5" numFmtId="167" xfId="0" applyBorder="1" applyFont="1" applyNumberFormat="1"/>
    <xf borderId="40" fillId="4" fontId="5" numFmtId="166" xfId="0" applyBorder="1" applyFont="1" applyNumberFormat="1"/>
    <xf borderId="22" fillId="2" fontId="3" numFmtId="167" xfId="0" applyBorder="1" applyFont="1" applyNumberFormat="1"/>
    <xf borderId="41" fillId="4" fontId="5" numFmtId="166" xfId="0" applyBorder="1" applyFont="1" applyNumberFormat="1"/>
    <xf borderId="39" fillId="2" fontId="3" numFmtId="167" xfId="0" applyBorder="1" applyFont="1" applyNumberFormat="1"/>
    <xf borderId="40" fillId="2" fontId="3" numFmtId="166" xfId="0" applyBorder="1" applyFont="1" applyNumberFormat="1"/>
    <xf borderId="38" fillId="2" fontId="3" numFmtId="166" xfId="0" applyBorder="1" applyFont="1" applyNumberFormat="1"/>
    <xf borderId="21" fillId="2" fontId="3" numFmtId="167" xfId="0" applyBorder="1" applyFont="1" applyNumberFormat="1"/>
    <xf borderId="3" fillId="4" fontId="5" numFmtId="166" xfId="0" applyBorder="1" applyFont="1" applyNumberFormat="1"/>
    <xf borderId="42" fillId="2" fontId="3" numFmtId="166" xfId="0" applyBorder="1" applyFont="1" applyNumberFormat="1"/>
    <xf borderId="43" fillId="2" fontId="5" numFmtId="167" xfId="0" applyBorder="1" applyFont="1" applyNumberFormat="1"/>
    <xf borderId="44" fillId="2" fontId="3" numFmtId="166" xfId="0" applyBorder="1" applyFont="1" applyNumberFormat="1"/>
    <xf borderId="3" fillId="2" fontId="3" numFmtId="167" xfId="0" applyBorder="1" applyFont="1" applyNumberFormat="1"/>
    <xf borderId="42" fillId="2" fontId="5" numFmtId="166" xfId="0" applyBorder="1" applyFont="1" applyNumberFormat="1"/>
    <xf borderId="43" fillId="2" fontId="3" numFmtId="167" xfId="0" applyBorder="1" applyFont="1" applyNumberFormat="1"/>
    <xf borderId="1" fillId="2" fontId="3" numFmtId="167" xfId="0" applyBorder="1" applyFont="1" applyNumberFormat="1"/>
    <xf borderId="42" fillId="4" fontId="5" numFmtId="166" xfId="0" applyBorder="1" applyFont="1" applyNumberFormat="1"/>
    <xf borderId="3" fillId="2" fontId="3" numFmtId="166" xfId="0" applyBorder="1" applyFont="1" applyNumberFormat="1"/>
    <xf borderId="3" fillId="2" fontId="5" numFmtId="166" xfId="0" applyBorder="1" applyFont="1" applyNumberFormat="1"/>
    <xf borderId="44" fillId="2" fontId="5" numFmtId="166" xfId="0" applyBorder="1" applyFont="1" applyNumberFormat="1"/>
    <xf borderId="3" fillId="4" fontId="5" numFmtId="167" xfId="0" applyBorder="1" applyFont="1" applyNumberFormat="1"/>
    <xf borderId="43" fillId="4" fontId="5" numFmtId="167" xfId="0" applyBorder="1" applyFont="1" applyNumberFormat="1"/>
    <xf borderId="3" fillId="2" fontId="5" numFmtId="167" xfId="0" applyBorder="1" applyFont="1" applyNumberFormat="1"/>
    <xf borderId="1" fillId="2" fontId="5" numFmtId="167" xfId="0" applyBorder="1" applyFont="1" applyNumberFormat="1"/>
    <xf borderId="44" fillId="4" fontId="5" numFmtId="166" xfId="0" applyBorder="1" applyFont="1" applyNumberFormat="1"/>
    <xf borderId="3" fillId="4" fontId="3" numFmtId="167" xfId="0" applyBorder="1" applyFont="1" applyNumberFormat="1"/>
    <xf borderId="12" fillId="2" fontId="2" numFmtId="0" xfId="0" applyBorder="1" applyFont="1"/>
    <xf borderId="45" fillId="2" fontId="1" numFmtId="166" xfId="0" applyBorder="1" applyFont="1" applyNumberFormat="1"/>
    <xf borderId="46" fillId="2" fontId="1" numFmtId="166" xfId="0" applyBorder="1" applyFont="1" applyNumberFormat="1"/>
    <xf borderId="47" fillId="2" fontId="1" numFmtId="167" xfId="0" applyBorder="1" applyFont="1" applyNumberFormat="1"/>
    <xf borderId="48" fillId="2" fontId="1" numFmtId="166" xfId="0" applyBorder="1" applyFont="1" applyNumberFormat="1"/>
    <xf borderId="45" fillId="2" fontId="1" numFmtId="167" xfId="0" applyBorder="1" applyFont="1" applyNumberFormat="1"/>
    <xf borderId="12" fillId="2" fontId="1" numFmtId="167" xfId="0" applyBorder="1" applyFont="1" applyNumberFormat="1"/>
    <xf borderId="49" fillId="2" fontId="3" numFmtId="166" xfId="0" applyBorder="1" applyFont="1" applyNumberFormat="1"/>
    <xf borderId="50" fillId="2" fontId="3" numFmtId="167" xfId="0" applyBorder="1" applyFont="1" applyNumberFormat="1"/>
    <xf borderId="51" fillId="2" fontId="3" numFmtId="166" xfId="0" applyBorder="1" applyFont="1" applyNumberFormat="1"/>
    <xf borderId="52" fillId="2" fontId="3" numFmtId="167" xfId="0" applyBorder="1" applyFont="1" applyNumberFormat="1"/>
    <xf borderId="2" fillId="2" fontId="3" numFmtId="167" xfId="0" applyBorder="1" applyFont="1" applyNumberFormat="1"/>
    <xf borderId="49" fillId="4" fontId="5" numFmtId="167" xfId="0" applyBorder="1" applyFont="1" applyNumberFormat="1"/>
    <xf borderId="51" fillId="4" fontId="5" numFmtId="167" xfId="0" applyBorder="1" applyFont="1" applyNumberFormat="1"/>
    <xf borderId="49" fillId="5" fontId="5" numFmtId="167" xfId="0" applyBorder="1" applyFill="1" applyFont="1" applyNumberFormat="1"/>
    <xf borderId="51" fillId="2" fontId="3" numFmtId="167" xfId="0" applyBorder="1" applyFont="1" applyNumberFormat="1"/>
    <xf borderId="49" fillId="2" fontId="3" numFmtId="167" xfId="0" applyBorder="1" applyFont="1" applyNumberFormat="1"/>
    <xf borderId="25" fillId="2" fontId="3" numFmtId="166" xfId="0" applyBorder="1" applyFont="1" applyNumberFormat="1"/>
    <xf borderId="53" fillId="2" fontId="1" numFmtId="167" xfId="0" applyAlignment="1" applyBorder="1" applyFont="1" applyNumberFormat="1">
      <alignment horizontal="center"/>
    </xf>
    <xf borderId="54" fillId="0" fontId="7" numFmtId="0" xfId="0" applyBorder="1" applyFont="1"/>
    <xf borderId="27" fillId="2" fontId="3" numFmtId="166" xfId="0" applyBorder="1" applyFont="1" applyNumberFormat="1"/>
    <xf borderId="27" fillId="2" fontId="3" numFmtId="167" xfId="0" applyBorder="1" applyFont="1" applyNumberFormat="1"/>
    <xf borderId="5" fillId="4" fontId="13" numFmtId="164" xfId="0" applyBorder="1" applyFont="1" applyNumberFormat="1"/>
    <xf borderId="1" fillId="4" fontId="5" numFmtId="164" xfId="0" applyBorder="1" applyFont="1" applyNumberFormat="1"/>
    <xf borderId="7" fillId="2" fontId="3" numFmtId="164" xfId="0" applyBorder="1" applyFont="1" applyNumberFormat="1"/>
    <xf borderId="55" fillId="2" fontId="17" numFmtId="164" xfId="0" applyBorder="1" applyFont="1" applyNumberFormat="1"/>
    <xf borderId="55" fillId="2" fontId="3" numFmtId="164" xfId="0" applyBorder="1" applyFont="1" applyNumberFormat="1"/>
    <xf borderId="0" fillId="0" fontId="3" numFmtId="164" xfId="0" applyAlignment="1" applyFont="1" applyNumberFormat="1">
      <alignment vertical="bottom"/>
    </xf>
    <xf borderId="0" fillId="0" fontId="1" numFmtId="0" xfId="0" applyAlignment="1" applyFont="1">
      <alignment horizontal="center" shrinkToFit="0" textRotation="90" vertical="center" wrapText="1"/>
    </xf>
    <xf borderId="0" fillId="0" fontId="2" numFmtId="164" xfId="0" applyFont="1" applyNumberFormat="1"/>
    <xf borderId="0" fillId="0" fontId="1" numFmtId="164" xfId="0" applyFont="1" applyNumberFormat="1"/>
    <xf borderId="0" fillId="0" fontId="5" numFmtId="164" xfId="0" applyFont="1" applyNumberFormat="1"/>
    <xf borderId="0" fillId="0" fontId="5" numFmtId="0" xfId="0" applyFont="1"/>
  </cellXfs>
  <cellStyles count="1">
    <cellStyle xfId="0" name="Normal" builtinId="0"/>
  </cellStyles>
  <dxfs count="4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Row="1"/>
  <cols>
    <col customWidth="1" min="1" max="1" width="7.0"/>
    <col customWidth="1" min="2" max="2" width="28.5"/>
    <col customWidth="1" min="3" max="3" width="15.88"/>
    <col customWidth="1" min="4" max="4" width="14.13"/>
    <col customWidth="1" min="5" max="8" width="13.88"/>
    <col customWidth="1" min="9" max="9" width="14.25"/>
    <col customWidth="1" min="10" max="10" width="13.88"/>
    <col customWidth="1" min="11" max="11" width="14.0"/>
    <col customWidth="1" min="12" max="12" width="15.0"/>
    <col customWidth="1" min="13" max="17" width="13.88"/>
    <col customWidth="1" min="18" max="22" width="15.0"/>
    <col customWidth="1" min="23" max="28" width="13.88"/>
  </cols>
  <sheetData>
    <row r="1" ht="14.25" customHeight="1">
      <c r="A1" s="1"/>
      <c r="B1" s="1"/>
      <c r="C1" s="2" t="s">
        <v>0</v>
      </c>
      <c r="D1" s="3" t="str">
        <f t="shared" ref="D1:AB1" si="1">+C1</f>
        <v>LUNES</v>
      </c>
      <c r="E1" s="3" t="str">
        <f t="shared" si="1"/>
        <v>LUNES</v>
      </c>
      <c r="F1" s="3" t="str">
        <f t="shared" si="1"/>
        <v>LUNES</v>
      </c>
      <c r="G1" s="3" t="str">
        <f t="shared" si="1"/>
        <v>LUNES</v>
      </c>
      <c r="H1" s="3" t="str">
        <f t="shared" si="1"/>
        <v>LUNES</v>
      </c>
      <c r="I1" s="3" t="str">
        <f t="shared" si="1"/>
        <v>LUNES</v>
      </c>
      <c r="J1" s="3" t="str">
        <f t="shared" si="1"/>
        <v>LUNES</v>
      </c>
      <c r="K1" s="3" t="str">
        <f t="shared" si="1"/>
        <v>LUNES</v>
      </c>
      <c r="L1" s="3" t="str">
        <f t="shared" si="1"/>
        <v>LUNES</v>
      </c>
      <c r="M1" s="3" t="str">
        <f t="shared" si="1"/>
        <v>LUNES</v>
      </c>
      <c r="N1" s="3" t="str">
        <f t="shared" si="1"/>
        <v>LUNES</v>
      </c>
      <c r="O1" s="3" t="str">
        <f t="shared" si="1"/>
        <v>LUNES</v>
      </c>
      <c r="P1" s="3" t="str">
        <f t="shared" si="1"/>
        <v>LUNES</v>
      </c>
      <c r="Q1" s="3" t="str">
        <f t="shared" si="1"/>
        <v>LUNES</v>
      </c>
      <c r="R1" s="3" t="str">
        <f t="shared" si="1"/>
        <v>LUNES</v>
      </c>
      <c r="S1" s="3" t="str">
        <f t="shared" si="1"/>
        <v>LUNES</v>
      </c>
      <c r="T1" s="3" t="str">
        <f t="shared" si="1"/>
        <v>LUNES</v>
      </c>
      <c r="U1" s="3" t="str">
        <f t="shared" si="1"/>
        <v>LUNES</v>
      </c>
      <c r="V1" s="3" t="str">
        <f t="shared" si="1"/>
        <v>LUNES</v>
      </c>
      <c r="W1" s="3" t="str">
        <f t="shared" si="1"/>
        <v>LUNES</v>
      </c>
      <c r="X1" s="3" t="str">
        <f t="shared" si="1"/>
        <v>LUNES</v>
      </c>
      <c r="Y1" s="3" t="str">
        <f t="shared" si="1"/>
        <v>LUNES</v>
      </c>
      <c r="Z1" s="3" t="str">
        <f t="shared" si="1"/>
        <v>LUNES</v>
      </c>
      <c r="AA1" s="3" t="str">
        <f t="shared" si="1"/>
        <v>LUNES</v>
      </c>
      <c r="AB1" s="3" t="str">
        <f t="shared" si="1"/>
        <v>LUNES</v>
      </c>
    </row>
    <row r="2" ht="14.25" customHeight="1">
      <c r="A2" s="4"/>
      <c r="B2" s="4"/>
      <c r="C2" s="5">
        <v>46020.0</v>
      </c>
      <c r="D2" s="6">
        <f t="shared" ref="D2:AB2" si="2">+C2+7</f>
        <v>46027</v>
      </c>
      <c r="E2" s="6">
        <f t="shared" si="2"/>
        <v>46034</v>
      </c>
      <c r="F2" s="6">
        <f t="shared" si="2"/>
        <v>46041</v>
      </c>
      <c r="G2" s="6">
        <f t="shared" si="2"/>
        <v>46048</v>
      </c>
      <c r="H2" s="6">
        <f t="shared" si="2"/>
        <v>46055</v>
      </c>
      <c r="I2" s="6">
        <f t="shared" si="2"/>
        <v>46062</v>
      </c>
      <c r="J2" s="6">
        <f t="shared" si="2"/>
        <v>46069</v>
      </c>
      <c r="K2" s="6">
        <f t="shared" si="2"/>
        <v>46076</v>
      </c>
      <c r="L2" s="6">
        <f t="shared" si="2"/>
        <v>46083</v>
      </c>
      <c r="M2" s="6">
        <f t="shared" si="2"/>
        <v>46090</v>
      </c>
      <c r="N2" s="6">
        <f t="shared" si="2"/>
        <v>46097</v>
      </c>
      <c r="O2" s="6">
        <f t="shared" si="2"/>
        <v>46104</v>
      </c>
      <c r="P2" s="6">
        <f t="shared" si="2"/>
        <v>46111</v>
      </c>
      <c r="Q2" s="6">
        <f t="shared" si="2"/>
        <v>46118</v>
      </c>
      <c r="R2" s="6">
        <f t="shared" si="2"/>
        <v>46125</v>
      </c>
      <c r="S2" s="6">
        <f t="shared" si="2"/>
        <v>46132</v>
      </c>
      <c r="T2" s="6">
        <f t="shared" si="2"/>
        <v>46139</v>
      </c>
      <c r="U2" s="6">
        <f t="shared" si="2"/>
        <v>46146</v>
      </c>
      <c r="V2" s="6">
        <f t="shared" si="2"/>
        <v>46153</v>
      </c>
      <c r="W2" s="6">
        <f t="shared" si="2"/>
        <v>46160</v>
      </c>
      <c r="X2" s="6">
        <f t="shared" si="2"/>
        <v>46167</v>
      </c>
      <c r="Y2" s="6">
        <f t="shared" si="2"/>
        <v>46174</v>
      </c>
      <c r="Z2" s="6">
        <f t="shared" si="2"/>
        <v>46181</v>
      </c>
      <c r="AA2" s="6">
        <f t="shared" si="2"/>
        <v>46188</v>
      </c>
      <c r="AB2" s="6">
        <f t="shared" si="2"/>
        <v>46195</v>
      </c>
    </row>
    <row r="3" ht="14.25" customHeight="1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</row>
    <row r="4" ht="14.25" customHeight="1">
      <c r="A4" s="10"/>
      <c r="B4" s="11" t="s">
        <v>1</v>
      </c>
      <c r="C4" s="12">
        <v>0.0</v>
      </c>
      <c r="D4" s="13">
        <f t="shared" ref="D4:AB4" si="3">+C61</f>
        <v>0</v>
      </c>
      <c r="E4" s="13">
        <f t="shared" si="3"/>
        <v>0</v>
      </c>
      <c r="F4" s="13">
        <f t="shared" si="3"/>
        <v>0</v>
      </c>
      <c r="G4" s="13">
        <f t="shared" si="3"/>
        <v>0</v>
      </c>
      <c r="H4" s="13">
        <f t="shared" si="3"/>
        <v>0</v>
      </c>
      <c r="I4" s="13">
        <f t="shared" si="3"/>
        <v>0</v>
      </c>
      <c r="J4" s="13">
        <f t="shared" si="3"/>
        <v>0</v>
      </c>
      <c r="K4" s="13">
        <f t="shared" si="3"/>
        <v>0</v>
      </c>
      <c r="L4" s="13">
        <f t="shared" si="3"/>
        <v>0</v>
      </c>
      <c r="M4" s="13">
        <f t="shared" si="3"/>
        <v>0</v>
      </c>
      <c r="N4" s="13">
        <f t="shared" si="3"/>
        <v>0</v>
      </c>
      <c r="O4" s="13">
        <f t="shared" si="3"/>
        <v>0</v>
      </c>
      <c r="P4" s="13">
        <f t="shared" si="3"/>
        <v>0</v>
      </c>
      <c r="Q4" s="13">
        <f t="shared" si="3"/>
        <v>0</v>
      </c>
      <c r="R4" s="13">
        <f t="shared" si="3"/>
        <v>0</v>
      </c>
      <c r="S4" s="13">
        <f t="shared" si="3"/>
        <v>0</v>
      </c>
      <c r="T4" s="13">
        <f t="shared" si="3"/>
        <v>0</v>
      </c>
      <c r="U4" s="13">
        <f t="shared" si="3"/>
        <v>0</v>
      </c>
      <c r="V4" s="13">
        <f t="shared" si="3"/>
        <v>0</v>
      </c>
      <c r="W4" s="13">
        <f t="shared" si="3"/>
        <v>0</v>
      </c>
      <c r="X4" s="13">
        <f t="shared" si="3"/>
        <v>0</v>
      </c>
      <c r="Y4" s="13">
        <f t="shared" si="3"/>
        <v>0</v>
      </c>
      <c r="Z4" s="13">
        <f t="shared" si="3"/>
        <v>0</v>
      </c>
      <c r="AA4" s="13">
        <f t="shared" si="3"/>
        <v>0</v>
      </c>
      <c r="AB4" s="13">
        <f t="shared" si="3"/>
        <v>0</v>
      </c>
    </row>
    <row r="5" ht="14.25" customHeigh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4"/>
      <c r="T5" s="14"/>
      <c r="U5" s="14"/>
      <c r="V5" s="14"/>
      <c r="W5" s="14"/>
      <c r="X5" s="14"/>
      <c r="Y5" s="14"/>
      <c r="Z5" s="15"/>
      <c r="AA5" s="14"/>
      <c r="AB5" s="15"/>
    </row>
    <row r="6" ht="14.25" customHeight="1">
      <c r="A6" s="16" t="s">
        <v>2</v>
      </c>
      <c r="B6" s="17" t="s">
        <v>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ht="14.25" customHeight="1" outlineLevel="1">
      <c r="A7" s="20"/>
      <c r="B7" s="7" t="s">
        <v>4</v>
      </c>
      <c r="C7" s="21">
        <v>0.0</v>
      </c>
      <c r="D7" s="22">
        <v>0.0</v>
      </c>
      <c r="E7" s="21">
        <v>0.0</v>
      </c>
      <c r="F7" s="22">
        <v>0.0</v>
      </c>
      <c r="G7" s="21">
        <v>0.0</v>
      </c>
      <c r="H7" s="22">
        <v>0.0</v>
      </c>
      <c r="I7" s="21">
        <v>0.0</v>
      </c>
      <c r="J7" s="22">
        <v>0.0</v>
      </c>
      <c r="K7" s="21">
        <v>0.0</v>
      </c>
      <c r="L7" s="22">
        <v>0.0</v>
      </c>
      <c r="M7" s="21">
        <v>0.0</v>
      </c>
      <c r="N7" s="22">
        <v>0.0</v>
      </c>
      <c r="O7" s="21">
        <v>0.0</v>
      </c>
      <c r="P7" s="22">
        <v>0.0</v>
      </c>
      <c r="Q7" s="21">
        <v>0.0</v>
      </c>
      <c r="R7" s="22">
        <v>0.0</v>
      </c>
      <c r="S7" s="21">
        <v>0.0</v>
      </c>
      <c r="T7" s="22">
        <v>0.0</v>
      </c>
      <c r="U7" s="21">
        <v>0.0</v>
      </c>
      <c r="V7" s="22">
        <v>0.0</v>
      </c>
      <c r="W7" s="21">
        <v>0.0</v>
      </c>
      <c r="X7" s="22">
        <v>0.0</v>
      </c>
      <c r="Y7" s="21">
        <v>0.0</v>
      </c>
      <c r="Z7" s="22">
        <v>0.0</v>
      </c>
      <c r="AA7" s="21">
        <v>0.0</v>
      </c>
      <c r="AB7" s="22">
        <v>0.0</v>
      </c>
    </row>
    <row r="8" ht="14.25" customHeight="1" outlineLevel="1">
      <c r="A8" s="20"/>
      <c r="B8" s="19" t="s">
        <v>5</v>
      </c>
      <c r="C8" s="21">
        <v>0.0</v>
      </c>
      <c r="D8" s="22">
        <v>0.0</v>
      </c>
      <c r="E8" s="21">
        <v>0.0</v>
      </c>
      <c r="F8" s="22">
        <v>0.0</v>
      </c>
      <c r="G8" s="21">
        <v>0.0</v>
      </c>
      <c r="H8" s="22">
        <v>0.0</v>
      </c>
      <c r="I8" s="21">
        <v>0.0</v>
      </c>
      <c r="J8" s="22">
        <v>0.0</v>
      </c>
      <c r="K8" s="21">
        <v>0.0</v>
      </c>
      <c r="L8" s="22">
        <v>0.0</v>
      </c>
      <c r="M8" s="21">
        <v>0.0</v>
      </c>
      <c r="N8" s="22">
        <v>0.0</v>
      </c>
      <c r="O8" s="21">
        <v>0.0</v>
      </c>
      <c r="P8" s="22">
        <v>0.0</v>
      </c>
      <c r="Q8" s="21">
        <v>0.0</v>
      </c>
      <c r="R8" s="22">
        <v>0.0</v>
      </c>
      <c r="S8" s="21">
        <v>0.0</v>
      </c>
      <c r="T8" s="22">
        <v>0.0</v>
      </c>
      <c r="U8" s="21">
        <v>0.0</v>
      </c>
      <c r="V8" s="22">
        <v>0.0</v>
      </c>
      <c r="W8" s="21">
        <v>0.0</v>
      </c>
      <c r="X8" s="22">
        <v>0.0</v>
      </c>
      <c r="Y8" s="21">
        <v>0.0</v>
      </c>
      <c r="Z8" s="22">
        <v>0.0</v>
      </c>
      <c r="AA8" s="21">
        <v>0.0</v>
      </c>
      <c r="AB8" s="22">
        <v>0.0</v>
      </c>
    </row>
    <row r="9" ht="14.25" customHeight="1" outlineLevel="1">
      <c r="A9" s="20"/>
      <c r="B9" s="7" t="s">
        <v>6</v>
      </c>
      <c r="C9" s="21">
        <v>0.0</v>
      </c>
      <c r="D9" s="19">
        <v>0.0</v>
      </c>
      <c r="E9" s="21">
        <v>0.0</v>
      </c>
      <c r="F9" s="19">
        <v>0.0</v>
      </c>
      <c r="G9" s="21">
        <v>0.0</v>
      </c>
      <c r="H9" s="19">
        <v>0.0</v>
      </c>
      <c r="I9" s="21">
        <v>0.0</v>
      </c>
      <c r="J9" s="19">
        <v>0.0</v>
      </c>
      <c r="K9" s="21">
        <v>0.0</v>
      </c>
      <c r="L9" s="19">
        <v>0.0</v>
      </c>
      <c r="M9" s="21">
        <v>0.0</v>
      </c>
      <c r="N9" s="19">
        <v>0.0</v>
      </c>
      <c r="O9" s="21">
        <v>0.0</v>
      </c>
      <c r="P9" s="19">
        <v>0.0</v>
      </c>
      <c r="Q9" s="21">
        <v>0.0</v>
      </c>
      <c r="R9" s="19">
        <v>0.0</v>
      </c>
      <c r="S9" s="21">
        <v>0.0</v>
      </c>
      <c r="T9" s="19">
        <v>0.0</v>
      </c>
      <c r="U9" s="21">
        <v>0.0</v>
      </c>
      <c r="V9" s="19">
        <v>0.0</v>
      </c>
      <c r="W9" s="21">
        <v>0.0</v>
      </c>
      <c r="X9" s="19">
        <v>0.0</v>
      </c>
      <c r="Y9" s="21">
        <v>0.0</v>
      </c>
      <c r="Z9" s="19">
        <v>0.0</v>
      </c>
      <c r="AA9" s="21">
        <v>0.0</v>
      </c>
      <c r="AB9" s="19">
        <v>0.0</v>
      </c>
    </row>
    <row r="10" ht="14.25" customHeight="1" outlineLevel="1">
      <c r="A10" s="20"/>
      <c r="B10" s="7" t="s">
        <v>7</v>
      </c>
      <c r="C10" s="21">
        <v>0.0</v>
      </c>
      <c r="D10" s="19">
        <v>0.0</v>
      </c>
      <c r="E10" s="21">
        <v>0.0</v>
      </c>
      <c r="F10" s="19">
        <v>0.0</v>
      </c>
      <c r="G10" s="21">
        <v>0.0</v>
      </c>
      <c r="H10" s="19">
        <v>0.0</v>
      </c>
      <c r="I10" s="21">
        <v>0.0</v>
      </c>
      <c r="J10" s="19">
        <v>0.0</v>
      </c>
      <c r="K10" s="21">
        <v>0.0</v>
      </c>
      <c r="L10" s="19">
        <v>0.0</v>
      </c>
      <c r="M10" s="21">
        <v>0.0</v>
      </c>
      <c r="N10" s="19">
        <v>0.0</v>
      </c>
      <c r="O10" s="21">
        <v>0.0</v>
      </c>
      <c r="P10" s="19">
        <v>0.0</v>
      </c>
      <c r="Q10" s="21">
        <v>0.0</v>
      </c>
      <c r="R10" s="19">
        <v>0.0</v>
      </c>
      <c r="S10" s="21">
        <v>0.0</v>
      </c>
      <c r="T10" s="19">
        <v>0.0</v>
      </c>
      <c r="U10" s="21">
        <v>0.0</v>
      </c>
      <c r="V10" s="19">
        <v>0.0</v>
      </c>
      <c r="W10" s="21">
        <v>0.0</v>
      </c>
      <c r="X10" s="19">
        <v>0.0</v>
      </c>
      <c r="Y10" s="21">
        <v>0.0</v>
      </c>
      <c r="Z10" s="19">
        <v>0.0</v>
      </c>
      <c r="AA10" s="21">
        <v>0.0</v>
      </c>
      <c r="AB10" s="19">
        <v>0.0</v>
      </c>
    </row>
    <row r="11" ht="14.25" customHeight="1" outlineLevel="1">
      <c r="A11" s="20"/>
      <c r="B11" s="7" t="s">
        <v>8</v>
      </c>
      <c r="C11" s="21">
        <v>0.0</v>
      </c>
      <c r="D11" s="19">
        <v>0.0</v>
      </c>
      <c r="E11" s="21">
        <v>0.0</v>
      </c>
      <c r="F11" s="19">
        <v>0.0</v>
      </c>
      <c r="G11" s="21">
        <v>0.0</v>
      </c>
      <c r="H11" s="19">
        <v>0.0</v>
      </c>
      <c r="I11" s="21">
        <v>0.0</v>
      </c>
      <c r="J11" s="19">
        <v>0.0</v>
      </c>
      <c r="K11" s="21">
        <v>0.0</v>
      </c>
      <c r="L11" s="19">
        <v>0.0</v>
      </c>
      <c r="M11" s="21">
        <v>0.0</v>
      </c>
      <c r="N11" s="19">
        <v>0.0</v>
      </c>
      <c r="O11" s="21">
        <v>0.0</v>
      </c>
      <c r="P11" s="19">
        <v>0.0</v>
      </c>
      <c r="Q11" s="21">
        <v>0.0</v>
      </c>
      <c r="R11" s="19">
        <v>0.0</v>
      </c>
      <c r="S11" s="21">
        <v>0.0</v>
      </c>
      <c r="T11" s="19">
        <v>0.0</v>
      </c>
      <c r="U11" s="21">
        <v>0.0</v>
      </c>
      <c r="V11" s="19">
        <v>0.0</v>
      </c>
      <c r="W11" s="21">
        <v>0.0</v>
      </c>
      <c r="X11" s="19">
        <v>0.0</v>
      </c>
      <c r="Y11" s="21">
        <v>0.0</v>
      </c>
      <c r="Z11" s="19">
        <v>0.0</v>
      </c>
      <c r="AA11" s="21">
        <v>0.0</v>
      </c>
      <c r="AB11" s="19">
        <v>0.0</v>
      </c>
    </row>
    <row r="12" ht="14.25" customHeight="1" outlineLevel="1">
      <c r="A12" s="20"/>
      <c r="B12" s="7" t="s">
        <v>9</v>
      </c>
      <c r="C12" s="21">
        <v>0.0</v>
      </c>
      <c r="D12" s="22">
        <v>0.0</v>
      </c>
      <c r="E12" s="21">
        <v>0.0</v>
      </c>
      <c r="F12" s="22">
        <v>0.0</v>
      </c>
      <c r="G12" s="21">
        <v>0.0</v>
      </c>
      <c r="H12" s="22">
        <v>0.0</v>
      </c>
      <c r="I12" s="21">
        <v>0.0</v>
      </c>
      <c r="J12" s="22">
        <v>0.0</v>
      </c>
      <c r="K12" s="21">
        <v>0.0</v>
      </c>
      <c r="L12" s="22">
        <v>0.0</v>
      </c>
      <c r="M12" s="21">
        <v>0.0</v>
      </c>
      <c r="N12" s="22">
        <v>0.0</v>
      </c>
      <c r="O12" s="21">
        <v>0.0</v>
      </c>
      <c r="P12" s="22">
        <v>0.0</v>
      </c>
      <c r="Q12" s="21">
        <v>0.0</v>
      </c>
      <c r="R12" s="22">
        <v>0.0</v>
      </c>
      <c r="S12" s="21">
        <v>0.0</v>
      </c>
      <c r="T12" s="22">
        <v>0.0</v>
      </c>
      <c r="U12" s="21">
        <v>0.0</v>
      </c>
      <c r="V12" s="22">
        <v>0.0</v>
      </c>
      <c r="W12" s="21">
        <v>0.0</v>
      </c>
      <c r="X12" s="22">
        <v>0.0</v>
      </c>
      <c r="Y12" s="21">
        <v>0.0</v>
      </c>
      <c r="Z12" s="22">
        <v>0.0</v>
      </c>
      <c r="AA12" s="21">
        <v>0.0</v>
      </c>
      <c r="AB12" s="22">
        <v>0.0</v>
      </c>
    </row>
    <row r="13" ht="14.25" customHeight="1" outlineLevel="1">
      <c r="A13" s="20"/>
      <c r="B13" s="19" t="s">
        <v>10</v>
      </c>
      <c r="C13" s="21">
        <v>0.0</v>
      </c>
      <c r="D13" s="19">
        <v>0.0</v>
      </c>
      <c r="E13" s="21">
        <v>0.0</v>
      </c>
      <c r="F13" s="19">
        <v>0.0</v>
      </c>
      <c r="G13" s="21">
        <v>0.0</v>
      </c>
      <c r="H13" s="19">
        <v>0.0</v>
      </c>
      <c r="I13" s="21">
        <v>0.0</v>
      </c>
      <c r="J13" s="19">
        <v>0.0</v>
      </c>
      <c r="K13" s="21">
        <v>0.0</v>
      </c>
      <c r="L13" s="19">
        <v>0.0</v>
      </c>
      <c r="M13" s="21">
        <v>0.0</v>
      </c>
      <c r="N13" s="19">
        <v>0.0</v>
      </c>
      <c r="O13" s="21">
        <v>0.0</v>
      </c>
      <c r="P13" s="19">
        <v>0.0</v>
      </c>
      <c r="Q13" s="21">
        <v>0.0</v>
      </c>
      <c r="R13" s="19">
        <v>0.0</v>
      </c>
      <c r="S13" s="21">
        <v>0.0</v>
      </c>
      <c r="T13" s="19">
        <v>0.0</v>
      </c>
      <c r="U13" s="21">
        <v>0.0</v>
      </c>
      <c r="V13" s="19">
        <v>0.0</v>
      </c>
      <c r="W13" s="21">
        <v>0.0</v>
      </c>
      <c r="X13" s="19">
        <v>0.0</v>
      </c>
      <c r="Y13" s="21">
        <v>0.0</v>
      </c>
      <c r="Z13" s="19">
        <v>0.0</v>
      </c>
      <c r="AA13" s="21">
        <v>0.0</v>
      </c>
      <c r="AB13" s="19">
        <v>0.0</v>
      </c>
    </row>
    <row r="14" ht="14.25" customHeight="1" outlineLevel="1">
      <c r="A14" s="20"/>
      <c r="B14" s="7" t="s">
        <v>11</v>
      </c>
      <c r="C14" s="21">
        <v>0.0</v>
      </c>
      <c r="D14" s="19">
        <v>0.0</v>
      </c>
      <c r="E14" s="21">
        <v>0.0</v>
      </c>
      <c r="F14" s="19">
        <v>0.0</v>
      </c>
      <c r="G14" s="21">
        <v>0.0</v>
      </c>
      <c r="H14" s="19">
        <v>0.0</v>
      </c>
      <c r="I14" s="21">
        <v>0.0</v>
      </c>
      <c r="J14" s="19">
        <v>0.0</v>
      </c>
      <c r="K14" s="21">
        <v>0.0</v>
      </c>
      <c r="L14" s="19">
        <v>0.0</v>
      </c>
      <c r="M14" s="21">
        <v>0.0</v>
      </c>
      <c r="N14" s="19">
        <v>0.0</v>
      </c>
      <c r="O14" s="21">
        <v>0.0</v>
      </c>
      <c r="P14" s="19">
        <v>0.0</v>
      </c>
      <c r="Q14" s="21">
        <v>0.0</v>
      </c>
      <c r="R14" s="19">
        <v>0.0</v>
      </c>
      <c r="S14" s="21">
        <v>0.0</v>
      </c>
      <c r="T14" s="19">
        <v>0.0</v>
      </c>
      <c r="U14" s="21">
        <v>0.0</v>
      </c>
      <c r="V14" s="19">
        <v>0.0</v>
      </c>
      <c r="W14" s="21">
        <v>0.0</v>
      </c>
      <c r="X14" s="19">
        <v>0.0</v>
      </c>
      <c r="Y14" s="21">
        <v>0.0</v>
      </c>
      <c r="Z14" s="19">
        <v>0.0</v>
      </c>
      <c r="AA14" s="21">
        <v>0.0</v>
      </c>
      <c r="AB14" s="19">
        <v>0.0</v>
      </c>
    </row>
    <row r="15" ht="14.25" customHeight="1" outlineLevel="1">
      <c r="A15" s="20"/>
      <c r="B15" s="7" t="s">
        <v>12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</row>
    <row r="16" ht="14.25" customHeight="1" outlineLevel="1">
      <c r="A16" s="20"/>
      <c r="B16" s="7" t="s">
        <v>13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19">
        <v>0.0</v>
      </c>
      <c r="AA16" s="19">
        <v>0.0</v>
      </c>
      <c r="AB16" s="19">
        <v>0.0</v>
      </c>
    </row>
    <row r="17" ht="14.25" customHeight="1" outlineLevel="1">
      <c r="A17" s="20"/>
      <c r="B17" s="7" t="s">
        <v>14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9">
        <v>0.0</v>
      </c>
      <c r="N17" s="19">
        <v>0.0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19">
        <v>0.0</v>
      </c>
      <c r="U17" s="19">
        <v>0.0</v>
      </c>
      <c r="V17" s="19">
        <v>0.0</v>
      </c>
      <c r="W17" s="19">
        <v>0.0</v>
      </c>
      <c r="X17" s="19">
        <v>0.0</v>
      </c>
      <c r="Y17" s="19">
        <v>0.0</v>
      </c>
      <c r="Z17" s="19">
        <v>0.0</v>
      </c>
      <c r="AA17" s="19">
        <v>0.0</v>
      </c>
      <c r="AB17" s="19">
        <v>0.0</v>
      </c>
    </row>
    <row r="18" ht="14.25" customHeight="1" outlineLevel="1">
      <c r="A18" s="20"/>
      <c r="B18" s="19" t="s">
        <v>15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19">
        <v>0.0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0.0</v>
      </c>
      <c r="AB18" s="19">
        <v>0.0</v>
      </c>
    </row>
    <row r="19" ht="14.25" customHeight="1" outlineLevel="1">
      <c r="A19" s="20"/>
      <c r="B19" s="19" t="s">
        <v>16</v>
      </c>
      <c r="C19" s="22">
        <v>0.0</v>
      </c>
      <c r="D19" s="19">
        <v>0.0</v>
      </c>
      <c r="E19" s="22">
        <v>0.0</v>
      </c>
      <c r="F19" s="19">
        <v>0.0</v>
      </c>
      <c r="G19" s="22">
        <v>0.0</v>
      </c>
      <c r="H19" s="19">
        <v>0.0</v>
      </c>
      <c r="I19" s="22">
        <v>0.0</v>
      </c>
      <c r="J19" s="19">
        <v>0.0</v>
      </c>
      <c r="K19" s="22">
        <v>0.0</v>
      </c>
      <c r="L19" s="19">
        <v>0.0</v>
      </c>
      <c r="M19" s="22">
        <v>0.0</v>
      </c>
      <c r="N19" s="19">
        <v>0.0</v>
      </c>
      <c r="O19" s="22">
        <v>0.0</v>
      </c>
      <c r="P19" s="19">
        <v>0.0</v>
      </c>
      <c r="Q19" s="22">
        <v>0.0</v>
      </c>
      <c r="R19" s="19">
        <v>0.0</v>
      </c>
      <c r="S19" s="22">
        <v>0.0</v>
      </c>
      <c r="T19" s="19">
        <v>0.0</v>
      </c>
      <c r="U19" s="22">
        <v>0.0</v>
      </c>
      <c r="V19" s="19">
        <v>0.0</v>
      </c>
      <c r="W19" s="22">
        <v>0.0</v>
      </c>
      <c r="X19" s="19">
        <v>0.0</v>
      </c>
      <c r="Y19" s="22">
        <v>0.0</v>
      </c>
      <c r="Z19" s="19">
        <v>0.0</v>
      </c>
      <c r="AA19" s="22">
        <v>0.0</v>
      </c>
      <c r="AB19" s="19">
        <v>0.0</v>
      </c>
    </row>
    <row r="20" ht="14.25" customHeight="1" outlineLevel="1">
      <c r="A20" s="20"/>
      <c r="B20" s="19" t="s">
        <v>17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0.0</v>
      </c>
      <c r="U20" s="19">
        <v>0.0</v>
      </c>
      <c r="V20" s="19">
        <v>0.0</v>
      </c>
      <c r="W20" s="19">
        <v>0.0</v>
      </c>
      <c r="X20" s="19">
        <v>0.0</v>
      </c>
      <c r="Y20" s="19">
        <v>0.0</v>
      </c>
      <c r="Z20" s="19">
        <v>0.0</v>
      </c>
      <c r="AA20" s="19">
        <v>0.0</v>
      </c>
      <c r="AB20" s="19">
        <v>0.0</v>
      </c>
    </row>
    <row r="21" ht="14.25" customHeight="1" outlineLevel="1">
      <c r="A21" s="20"/>
      <c r="B21" s="19" t="s">
        <v>18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0.0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19">
        <v>0.0</v>
      </c>
      <c r="U21" s="19">
        <v>0.0</v>
      </c>
      <c r="V21" s="19">
        <v>0.0</v>
      </c>
      <c r="W21" s="19">
        <v>0.0</v>
      </c>
      <c r="X21" s="19">
        <v>0.0</v>
      </c>
      <c r="Y21" s="19">
        <v>0.0</v>
      </c>
      <c r="Z21" s="19">
        <v>0.0</v>
      </c>
      <c r="AA21" s="19">
        <v>0.0</v>
      </c>
      <c r="AB21" s="19">
        <v>0.0</v>
      </c>
    </row>
    <row r="22" ht="14.25" customHeight="1" outlineLevel="1">
      <c r="A22" s="20"/>
      <c r="B22" s="19" t="s">
        <v>19</v>
      </c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</row>
    <row r="23" ht="14.25" customHeight="1" outlineLevel="1">
      <c r="A23" s="20"/>
      <c r="B23" s="7" t="s">
        <v>20</v>
      </c>
      <c r="C23" s="19">
        <v>0.0</v>
      </c>
      <c r="D23" s="19">
        <v>0.0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</row>
    <row r="24" ht="14.25" customHeight="1">
      <c r="A24" s="20"/>
      <c r="B24" s="7" t="s">
        <v>21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19">
        <v>0.0</v>
      </c>
      <c r="U24" s="19">
        <v>0.0</v>
      </c>
      <c r="V24" s="19">
        <v>0.0</v>
      </c>
      <c r="W24" s="19">
        <v>0.0</v>
      </c>
      <c r="X24" s="19">
        <v>0.0</v>
      </c>
      <c r="Y24" s="19">
        <v>0.0</v>
      </c>
      <c r="Z24" s="19">
        <v>0.0</v>
      </c>
      <c r="AA24" s="19">
        <v>0.0</v>
      </c>
      <c r="AB24" s="19">
        <v>0.0</v>
      </c>
    </row>
    <row r="25" ht="14.25" customHeight="1">
      <c r="A25" s="20"/>
      <c r="B25" s="7" t="s">
        <v>22</v>
      </c>
      <c r="C25" s="19">
        <v>0.0</v>
      </c>
      <c r="D25" s="19">
        <v>0.0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</row>
    <row r="26" ht="14.25" customHeight="1">
      <c r="A26" s="20"/>
      <c r="B26" s="7" t="s">
        <v>23</v>
      </c>
      <c r="C26" s="19">
        <v>0.0</v>
      </c>
      <c r="D26" s="22">
        <v>0.0</v>
      </c>
      <c r="E26" s="19">
        <v>0.0</v>
      </c>
      <c r="F26" s="22">
        <v>0.0</v>
      </c>
      <c r="G26" s="19">
        <v>0.0</v>
      </c>
      <c r="H26" s="22">
        <v>0.0</v>
      </c>
      <c r="I26" s="19">
        <v>0.0</v>
      </c>
      <c r="J26" s="22">
        <v>0.0</v>
      </c>
      <c r="K26" s="19">
        <v>0.0</v>
      </c>
      <c r="L26" s="22">
        <v>0.0</v>
      </c>
      <c r="M26" s="19">
        <v>0.0</v>
      </c>
      <c r="N26" s="22">
        <v>0.0</v>
      </c>
      <c r="O26" s="19">
        <v>0.0</v>
      </c>
      <c r="P26" s="22">
        <v>0.0</v>
      </c>
      <c r="Q26" s="19">
        <v>0.0</v>
      </c>
      <c r="R26" s="22">
        <v>0.0</v>
      </c>
      <c r="S26" s="19">
        <v>0.0</v>
      </c>
      <c r="T26" s="22">
        <v>0.0</v>
      </c>
      <c r="U26" s="19">
        <v>0.0</v>
      </c>
      <c r="V26" s="22">
        <v>0.0</v>
      </c>
      <c r="W26" s="19">
        <v>0.0</v>
      </c>
      <c r="X26" s="22">
        <v>0.0</v>
      </c>
      <c r="Y26" s="19">
        <v>0.0</v>
      </c>
      <c r="Z26" s="22">
        <v>0.0</v>
      </c>
      <c r="AA26" s="19">
        <v>0.0</v>
      </c>
      <c r="AB26" s="22">
        <v>0.0</v>
      </c>
    </row>
    <row r="27" ht="14.25" customHeight="1">
      <c r="A27" s="23"/>
      <c r="B27" s="24" t="s">
        <v>24</v>
      </c>
      <c r="C27" s="24">
        <f t="shared" ref="C27:AB27" si="4">SUM(C7:C26)</f>
        <v>0</v>
      </c>
      <c r="D27" s="24">
        <f t="shared" si="4"/>
        <v>0</v>
      </c>
      <c r="E27" s="24">
        <f t="shared" si="4"/>
        <v>0</v>
      </c>
      <c r="F27" s="24">
        <f t="shared" si="4"/>
        <v>0</v>
      </c>
      <c r="G27" s="24">
        <f t="shared" si="4"/>
        <v>0</v>
      </c>
      <c r="H27" s="24">
        <f t="shared" si="4"/>
        <v>0</v>
      </c>
      <c r="I27" s="24">
        <f t="shared" si="4"/>
        <v>0</v>
      </c>
      <c r="J27" s="24">
        <f t="shared" si="4"/>
        <v>0</v>
      </c>
      <c r="K27" s="24">
        <f t="shared" si="4"/>
        <v>0</v>
      </c>
      <c r="L27" s="24">
        <f t="shared" si="4"/>
        <v>0</v>
      </c>
      <c r="M27" s="24">
        <f t="shared" si="4"/>
        <v>0</v>
      </c>
      <c r="N27" s="24">
        <f t="shared" si="4"/>
        <v>0</v>
      </c>
      <c r="O27" s="24">
        <f t="shared" si="4"/>
        <v>0</v>
      </c>
      <c r="P27" s="24">
        <f t="shared" si="4"/>
        <v>0</v>
      </c>
      <c r="Q27" s="24">
        <f t="shared" si="4"/>
        <v>0</v>
      </c>
      <c r="R27" s="24">
        <f t="shared" si="4"/>
        <v>0</v>
      </c>
      <c r="S27" s="24">
        <f t="shared" si="4"/>
        <v>0</v>
      </c>
      <c r="T27" s="24">
        <f t="shared" si="4"/>
        <v>0</v>
      </c>
      <c r="U27" s="24">
        <f t="shared" si="4"/>
        <v>0</v>
      </c>
      <c r="V27" s="24">
        <f t="shared" si="4"/>
        <v>0</v>
      </c>
      <c r="W27" s="24">
        <f t="shared" si="4"/>
        <v>0</v>
      </c>
      <c r="X27" s="24">
        <f t="shared" si="4"/>
        <v>0</v>
      </c>
      <c r="Y27" s="24">
        <f t="shared" si="4"/>
        <v>0</v>
      </c>
      <c r="Z27" s="24">
        <f t="shared" si="4"/>
        <v>0</v>
      </c>
      <c r="AA27" s="24">
        <f t="shared" si="4"/>
        <v>0</v>
      </c>
      <c r="AB27" s="24">
        <f t="shared" si="4"/>
        <v>0</v>
      </c>
    </row>
    <row r="28" ht="14.25" customHeight="1">
      <c r="A28" s="7"/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4.25" customHeight="1">
      <c r="A29" s="25"/>
      <c r="B29" s="17" t="s">
        <v>25</v>
      </c>
      <c r="C29" s="26">
        <v>0.0</v>
      </c>
      <c r="D29" s="26">
        <v>0.0</v>
      </c>
      <c r="E29" s="26">
        <v>0.0</v>
      </c>
      <c r="F29" s="26">
        <v>0.0</v>
      </c>
      <c r="G29" s="26">
        <v>0.0</v>
      </c>
      <c r="H29" s="26">
        <v>0.0</v>
      </c>
      <c r="I29" s="26">
        <v>0.0</v>
      </c>
      <c r="J29" s="26">
        <v>0.0</v>
      </c>
      <c r="K29" s="26">
        <v>0.0</v>
      </c>
      <c r="L29" s="26">
        <v>0.0</v>
      </c>
      <c r="M29" s="26">
        <v>0.0</v>
      </c>
      <c r="N29" s="26">
        <v>0.0</v>
      </c>
      <c r="O29" s="26">
        <v>0.0</v>
      </c>
      <c r="P29" s="26">
        <v>0.0</v>
      </c>
      <c r="Q29" s="26">
        <v>0.0</v>
      </c>
      <c r="R29" s="26">
        <v>0.0</v>
      </c>
      <c r="S29" s="26">
        <v>0.0</v>
      </c>
      <c r="T29" s="26">
        <v>0.0</v>
      </c>
      <c r="U29" s="26">
        <v>0.0</v>
      </c>
      <c r="V29" s="26">
        <v>0.0</v>
      </c>
      <c r="W29" s="26">
        <v>0.0</v>
      </c>
      <c r="X29" s="26">
        <v>0.0</v>
      </c>
      <c r="Y29" s="26">
        <v>0.0</v>
      </c>
      <c r="Z29" s="26">
        <v>0.0</v>
      </c>
      <c r="AA29" s="26">
        <v>0.0</v>
      </c>
      <c r="AB29" s="26">
        <v>0.0</v>
      </c>
    </row>
    <row r="30" ht="14.25" customHeight="1" outlineLevel="1">
      <c r="A30" s="27" t="s">
        <v>26</v>
      </c>
      <c r="B30" s="7" t="s">
        <v>27</v>
      </c>
      <c r="C30" s="21">
        <v>0.0</v>
      </c>
      <c r="D30" s="21">
        <v>0.0</v>
      </c>
      <c r="E30" s="21">
        <v>0.0</v>
      </c>
      <c r="F30" s="21">
        <v>0.0</v>
      </c>
      <c r="G30" s="21">
        <v>0.0</v>
      </c>
      <c r="H30" s="21">
        <v>0.0</v>
      </c>
      <c r="I30" s="21">
        <v>0.0</v>
      </c>
      <c r="J30" s="21">
        <v>0.0</v>
      </c>
      <c r="K30" s="21">
        <v>0.0</v>
      </c>
      <c r="L30" s="21">
        <v>0.0</v>
      </c>
      <c r="M30" s="21">
        <v>0.0</v>
      </c>
      <c r="N30" s="21">
        <v>0.0</v>
      </c>
      <c r="O30" s="21">
        <v>0.0</v>
      </c>
      <c r="P30" s="21">
        <v>0.0</v>
      </c>
      <c r="Q30" s="21">
        <v>0.0</v>
      </c>
      <c r="R30" s="21">
        <v>0.0</v>
      </c>
      <c r="S30" s="21">
        <v>0.0</v>
      </c>
      <c r="T30" s="21">
        <v>0.0</v>
      </c>
      <c r="U30" s="21">
        <v>0.0</v>
      </c>
      <c r="V30" s="21">
        <v>0.0</v>
      </c>
      <c r="W30" s="21">
        <v>0.0</v>
      </c>
      <c r="X30" s="21">
        <v>0.0</v>
      </c>
      <c r="Y30" s="21">
        <v>0.0</v>
      </c>
      <c r="Z30" s="21">
        <v>0.0</v>
      </c>
      <c r="AA30" s="21">
        <v>0.0</v>
      </c>
      <c r="AB30" s="21">
        <v>0.0</v>
      </c>
    </row>
    <row r="31" ht="14.25" customHeight="1" outlineLevel="1">
      <c r="A31" s="20"/>
      <c r="B31" s="7" t="s">
        <v>28</v>
      </c>
      <c r="C31" s="21">
        <v>0.0</v>
      </c>
      <c r="D31" s="28">
        <v>0.0</v>
      </c>
      <c r="E31" s="21">
        <v>0.0</v>
      </c>
      <c r="F31" s="28">
        <v>0.0</v>
      </c>
      <c r="G31" s="21">
        <v>0.0</v>
      </c>
      <c r="H31" s="28">
        <v>0.0</v>
      </c>
      <c r="I31" s="21">
        <v>0.0</v>
      </c>
      <c r="J31" s="28">
        <v>0.0</v>
      </c>
      <c r="K31" s="21">
        <v>0.0</v>
      </c>
      <c r="L31" s="28">
        <v>0.0</v>
      </c>
      <c r="M31" s="21">
        <v>0.0</v>
      </c>
      <c r="N31" s="28">
        <v>0.0</v>
      </c>
      <c r="O31" s="21">
        <v>0.0</v>
      </c>
      <c r="P31" s="28">
        <v>0.0</v>
      </c>
      <c r="Q31" s="21">
        <v>0.0</v>
      </c>
      <c r="R31" s="28">
        <v>0.0</v>
      </c>
      <c r="S31" s="21">
        <v>0.0</v>
      </c>
      <c r="T31" s="28">
        <v>0.0</v>
      </c>
      <c r="U31" s="21">
        <v>0.0</v>
      </c>
      <c r="V31" s="28">
        <v>0.0</v>
      </c>
      <c r="W31" s="21">
        <v>0.0</v>
      </c>
      <c r="X31" s="28">
        <v>0.0</v>
      </c>
      <c r="Y31" s="21">
        <v>0.0</v>
      </c>
      <c r="Z31" s="28">
        <v>0.0</v>
      </c>
      <c r="AA31" s="21">
        <v>0.0</v>
      </c>
      <c r="AB31" s="28">
        <v>0.0</v>
      </c>
    </row>
    <row r="32" ht="14.25" customHeight="1" outlineLevel="1">
      <c r="A32" s="20"/>
      <c r="B32" s="7" t="s">
        <v>29</v>
      </c>
      <c r="C32" s="21">
        <v>0.0</v>
      </c>
      <c r="D32" s="28">
        <v>0.0</v>
      </c>
      <c r="E32" s="21">
        <v>0.0</v>
      </c>
      <c r="F32" s="28">
        <v>0.0</v>
      </c>
      <c r="G32" s="21">
        <v>0.0</v>
      </c>
      <c r="H32" s="28">
        <v>0.0</v>
      </c>
      <c r="I32" s="21">
        <v>0.0</v>
      </c>
      <c r="J32" s="28">
        <v>0.0</v>
      </c>
      <c r="K32" s="21">
        <v>0.0</v>
      </c>
      <c r="L32" s="28">
        <v>0.0</v>
      </c>
      <c r="M32" s="21">
        <v>0.0</v>
      </c>
      <c r="N32" s="28">
        <v>0.0</v>
      </c>
      <c r="O32" s="21">
        <v>0.0</v>
      </c>
      <c r="P32" s="28">
        <v>0.0</v>
      </c>
      <c r="Q32" s="21">
        <v>0.0</v>
      </c>
      <c r="R32" s="28">
        <v>0.0</v>
      </c>
      <c r="S32" s="21">
        <v>0.0</v>
      </c>
      <c r="T32" s="28">
        <v>0.0</v>
      </c>
      <c r="U32" s="21">
        <v>0.0</v>
      </c>
      <c r="V32" s="28">
        <v>0.0</v>
      </c>
      <c r="W32" s="21">
        <v>0.0</v>
      </c>
      <c r="X32" s="28">
        <v>0.0</v>
      </c>
      <c r="Y32" s="21">
        <v>0.0</v>
      </c>
      <c r="Z32" s="28">
        <v>0.0</v>
      </c>
      <c r="AA32" s="21">
        <v>0.0</v>
      </c>
      <c r="AB32" s="28">
        <v>0.0</v>
      </c>
    </row>
    <row r="33" ht="14.25" customHeight="1" outlineLevel="1">
      <c r="A33" s="20"/>
      <c r="B33" s="7" t="s">
        <v>30</v>
      </c>
      <c r="C33" s="21">
        <v>0.0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0.0</v>
      </c>
      <c r="K33" s="21">
        <v>0.0</v>
      </c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0.0</v>
      </c>
      <c r="S33" s="21">
        <v>0.0</v>
      </c>
      <c r="T33" s="21">
        <v>0.0</v>
      </c>
      <c r="U33" s="21">
        <v>0.0</v>
      </c>
      <c r="V33" s="21">
        <v>0.0</v>
      </c>
      <c r="W33" s="21">
        <v>0.0</v>
      </c>
      <c r="X33" s="21">
        <v>0.0</v>
      </c>
      <c r="Y33" s="21">
        <v>0.0</v>
      </c>
      <c r="Z33" s="21">
        <v>0.0</v>
      </c>
      <c r="AA33" s="21">
        <v>0.0</v>
      </c>
      <c r="AB33" s="21">
        <v>0.0</v>
      </c>
    </row>
    <row r="34" ht="14.25" customHeight="1" outlineLevel="1">
      <c r="A34" s="20"/>
      <c r="B34" s="7" t="s">
        <v>31</v>
      </c>
      <c r="C34" s="21">
        <v>0.0</v>
      </c>
      <c r="D34" s="28">
        <v>0.0</v>
      </c>
      <c r="E34" s="21">
        <v>0.0</v>
      </c>
      <c r="F34" s="28">
        <v>0.0</v>
      </c>
      <c r="G34" s="21">
        <v>0.0</v>
      </c>
      <c r="H34" s="28">
        <v>0.0</v>
      </c>
      <c r="I34" s="21">
        <v>0.0</v>
      </c>
      <c r="J34" s="28">
        <v>0.0</v>
      </c>
      <c r="K34" s="21">
        <v>0.0</v>
      </c>
      <c r="L34" s="28">
        <v>0.0</v>
      </c>
      <c r="M34" s="21">
        <v>0.0</v>
      </c>
      <c r="N34" s="28">
        <v>0.0</v>
      </c>
      <c r="O34" s="21">
        <v>0.0</v>
      </c>
      <c r="P34" s="28">
        <v>0.0</v>
      </c>
      <c r="Q34" s="21">
        <v>0.0</v>
      </c>
      <c r="R34" s="28">
        <v>0.0</v>
      </c>
      <c r="S34" s="21">
        <v>0.0</v>
      </c>
      <c r="T34" s="28">
        <v>0.0</v>
      </c>
      <c r="U34" s="21">
        <v>0.0</v>
      </c>
      <c r="V34" s="28">
        <v>0.0</v>
      </c>
      <c r="W34" s="21">
        <v>0.0</v>
      </c>
      <c r="X34" s="28">
        <v>0.0</v>
      </c>
      <c r="Y34" s="21">
        <v>0.0</v>
      </c>
      <c r="Z34" s="28">
        <v>0.0</v>
      </c>
      <c r="AA34" s="21">
        <v>0.0</v>
      </c>
      <c r="AB34" s="28">
        <v>0.0</v>
      </c>
    </row>
    <row r="35" ht="14.25" customHeight="1" outlineLevel="1">
      <c r="A35" s="20"/>
      <c r="B35" s="7" t="s">
        <v>32</v>
      </c>
      <c r="C35" s="21">
        <v>0.0</v>
      </c>
      <c r="D35" s="21">
        <v>0.0</v>
      </c>
      <c r="E35" s="21">
        <v>0.0</v>
      </c>
      <c r="F35" s="21">
        <v>0.0</v>
      </c>
      <c r="G35" s="21">
        <v>0.0</v>
      </c>
      <c r="H35" s="21">
        <v>0.0</v>
      </c>
      <c r="I35" s="21">
        <v>0.0</v>
      </c>
      <c r="J35" s="21">
        <v>0.0</v>
      </c>
      <c r="K35" s="21">
        <v>0.0</v>
      </c>
      <c r="L35" s="21">
        <v>0.0</v>
      </c>
      <c r="M35" s="21">
        <v>0.0</v>
      </c>
      <c r="N35" s="21">
        <v>0.0</v>
      </c>
      <c r="O35" s="21">
        <v>0.0</v>
      </c>
      <c r="P35" s="21">
        <v>0.0</v>
      </c>
      <c r="Q35" s="21">
        <v>0.0</v>
      </c>
      <c r="R35" s="21">
        <v>0.0</v>
      </c>
      <c r="S35" s="21">
        <v>0.0</v>
      </c>
      <c r="T35" s="21">
        <v>0.0</v>
      </c>
      <c r="U35" s="21">
        <v>0.0</v>
      </c>
      <c r="V35" s="21">
        <v>0.0</v>
      </c>
      <c r="W35" s="21">
        <v>0.0</v>
      </c>
      <c r="X35" s="21">
        <v>0.0</v>
      </c>
      <c r="Y35" s="21">
        <v>0.0</v>
      </c>
      <c r="Z35" s="21">
        <v>0.0</v>
      </c>
      <c r="AA35" s="21">
        <v>0.0</v>
      </c>
      <c r="AB35" s="21">
        <v>0.0</v>
      </c>
    </row>
    <row r="36" ht="14.25" customHeight="1" outlineLevel="1">
      <c r="A36" s="20"/>
      <c r="B36" s="19" t="s">
        <v>33</v>
      </c>
      <c r="C36" s="21">
        <v>0.0</v>
      </c>
      <c r="D36" s="21">
        <v>0.0</v>
      </c>
      <c r="E36" s="21">
        <v>0.0</v>
      </c>
      <c r="F36" s="21">
        <v>0.0</v>
      </c>
      <c r="G36" s="21">
        <v>0.0</v>
      </c>
      <c r="H36" s="21">
        <v>0.0</v>
      </c>
      <c r="I36" s="21">
        <v>0.0</v>
      </c>
      <c r="J36" s="21">
        <v>0.0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>
        <v>0.0</v>
      </c>
      <c r="Q36" s="21">
        <v>0.0</v>
      </c>
      <c r="R36" s="21">
        <v>0.0</v>
      </c>
      <c r="S36" s="21">
        <v>0.0</v>
      </c>
      <c r="T36" s="21">
        <v>0.0</v>
      </c>
      <c r="U36" s="21">
        <v>0.0</v>
      </c>
      <c r="V36" s="21">
        <v>0.0</v>
      </c>
      <c r="W36" s="21">
        <v>0.0</v>
      </c>
      <c r="X36" s="21">
        <v>0.0</v>
      </c>
      <c r="Y36" s="21">
        <v>0.0</v>
      </c>
      <c r="Z36" s="21">
        <v>0.0</v>
      </c>
      <c r="AA36" s="21">
        <v>0.0</v>
      </c>
      <c r="AB36" s="21">
        <v>0.0</v>
      </c>
    </row>
    <row r="37" ht="14.25" customHeight="1" outlineLevel="1">
      <c r="A37" s="20"/>
      <c r="B37" s="7" t="s">
        <v>34</v>
      </c>
      <c r="C37" s="21">
        <v>0.0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  <c r="T37" s="21">
        <v>0.0</v>
      </c>
      <c r="U37" s="21">
        <v>0.0</v>
      </c>
      <c r="V37" s="21">
        <v>0.0</v>
      </c>
      <c r="W37" s="21">
        <v>0.0</v>
      </c>
      <c r="X37" s="21">
        <v>0.0</v>
      </c>
      <c r="Y37" s="21">
        <v>0.0</v>
      </c>
      <c r="Z37" s="21">
        <v>0.0</v>
      </c>
      <c r="AA37" s="21">
        <v>0.0</v>
      </c>
      <c r="AB37" s="21">
        <v>0.0</v>
      </c>
    </row>
    <row r="38" ht="14.25" customHeight="1" outlineLevel="1">
      <c r="A38" s="20"/>
      <c r="B38" s="7" t="s">
        <v>35</v>
      </c>
      <c r="C38" s="21">
        <v>0.0</v>
      </c>
      <c r="D38" s="28">
        <v>0.0</v>
      </c>
      <c r="E38" s="21">
        <v>0.0</v>
      </c>
      <c r="F38" s="28">
        <v>0.0</v>
      </c>
      <c r="G38" s="21">
        <v>0.0</v>
      </c>
      <c r="H38" s="28">
        <v>0.0</v>
      </c>
      <c r="I38" s="21">
        <v>0.0</v>
      </c>
      <c r="J38" s="28">
        <v>0.0</v>
      </c>
      <c r="K38" s="21">
        <v>0.0</v>
      </c>
      <c r="L38" s="28">
        <v>0.0</v>
      </c>
      <c r="M38" s="21">
        <v>0.0</v>
      </c>
      <c r="N38" s="28">
        <v>0.0</v>
      </c>
      <c r="O38" s="21">
        <v>0.0</v>
      </c>
      <c r="P38" s="28">
        <v>0.0</v>
      </c>
      <c r="Q38" s="21">
        <v>0.0</v>
      </c>
      <c r="R38" s="28">
        <v>0.0</v>
      </c>
      <c r="S38" s="21">
        <v>0.0</v>
      </c>
      <c r="T38" s="28">
        <v>0.0</v>
      </c>
      <c r="U38" s="21">
        <v>0.0</v>
      </c>
      <c r="V38" s="28">
        <v>0.0</v>
      </c>
      <c r="W38" s="21">
        <v>0.0</v>
      </c>
      <c r="X38" s="28">
        <v>0.0</v>
      </c>
      <c r="Y38" s="21">
        <v>0.0</v>
      </c>
      <c r="Z38" s="28">
        <v>0.0</v>
      </c>
      <c r="AA38" s="21">
        <v>0.0</v>
      </c>
      <c r="AB38" s="28">
        <v>0.0</v>
      </c>
    </row>
    <row r="39" ht="14.25" customHeight="1" outlineLevel="1">
      <c r="A39" s="20"/>
      <c r="B39" s="29" t="s">
        <v>36</v>
      </c>
      <c r="C39" s="21">
        <v>0.0</v>
      </c>
      <c r="D39" s="21">
        <v>0.0</v>
      </c>
      <c r="E39" s="21">
        <v>0.0</v>
      </c>
      <c r="F39" s="21">
        <v>0.0</v>
      </c>
      <c r="G39" s="21">
        <v>0.0</v>
      </c>
      <c r="H39" s="21">
        <v>0.0</v>
      </c>
      <c r="I39" s="21">
        <v>0.0</v>
      </c>
      <c r="J39" s="21">
        <v>0.0</v>
      </c>
      <c r="K39" s="21">
        <v>0.0</v>
      </c>
      <c r="L39" s="21">
        <v>0.0</v>
      </c>
      <c r="M39" s="21">
        <v>0.0</v>
      </c>
      <c r="N39" s="21">
        <v>0.0</v>
      </c>
      <c r="O39" s="21">
        <v>0.0</v>
      </c>
      <c r="P39" s="21">
        <v>0.0</v>
      </c>
      <c r="Q39" s="21">
        <v>0.0</v>
      </c>
      <c r="R39" s="21">
        <v>0.0</v>
      </c>
      <c r="S39" s="21">
        <v>0.0</v>
      </c>
      <c r="T39" s="21">
        <v>0.0</v>
      </c>
      <c r="U39" s="21">
        <v>0.0</v>
      </c>
      <c r="V39" s="21">
        <v>0.0</v>
      </c>
      <c r="W39" s="21">
        <v>0.0</v>
      </c>
      <c r="X39" s="21">
        <v>0.0</v>
      </c>
      <c r="Y39" s="21">
        <v>0.0</v>
      </c>
      <c r="Z39" s="21">
        <v>0.0</v>
      </c>
      <c r="AA39" s="21">
        <v>0.0</v>
      </c>
      <c r="AB39" s="21">
        <v>0.0</v>
      </c>
    </row>
    <row r="40" ht="14.25" customHeight="1" outlineLevel="1">
      <c r="A40" s="20"/>
      <c r="B40" s="30" t="s">
        <v>37</v>
      </c>
      <c r="C40" s="21">
        <v>0.0</v>
      </c>
      <c r="D40" s="31">
        <v>0.0</v>
      </c>
      <c r="E40" s="21">
        <v>0.0</v>
      </c>
      <c r="F40" s="31">
        <v>0.0</v>
      </c>
      <c r="G40" s="21">
        <v>0.0</v>
      </c>
      <c r="H40" s="31">
        <v>0.0</v>
      </c>
      <c r="I40" s="21">
        <v>0.0</v>
      </c>
      <c r="J40" s="31">
        <v>0.0</v>
      </c>
      <c r="K40" s="21">
        <v>0.0</v>
      </c>
      <c r="L40" s="31">
        <v>0.0</v>
      </c>
      <c r="M40" s="21">
        <v>0.0</v>
      </c>
      <c r="N40" s="31">
        <v>0.0</v>
      </c>
      <c r="O40" s="21">
        <v>0.0</v>
      </c>
      <c r="P40" s="31">
        <v>0.0</v>
      </c>
      <c r="Q40" s="21">
        <v>0.0</v>
      </c>
      <c r="R40" s="31">
        <v>0.0</v>
      </c>
      <c r="S40" s="21">
        <v>0.0</v>
      </c>
      <c r="T40" s="31">
        <v>0.0</v>
      </c>
      <c r="U40" s="21">
        <v>0.0</v>
      </c>
      <c r="V40" s="31">
        <v>0.0</v>
      </c>
      <c r="W40" s="21">
        <v>0.0</v>
      </c>
      <c r="X40" s="31">
        <v>0.0</v>
      </c>
      <c r="Y40" s="21">
        <v>0.0</v>
      </c>
      <c r="Z40" s="31">
        <v>0.0</v>
      </c>
      <c r="AA40" s="21">
        <v>0.0</v>
      </c>
      <c r="AB40" s="31">
        <v>0.0</v>
      </c>
    </row>
    <row r="41" ht="14.25" customHeight="1" outlineLevel="1">
      <c r="A41" s="20"/>
      <c r="B41" s="30" t="s">
        <v>38</v>
      </c>
      <c r="C41" s="21">
        <v>0.0</v>
      </c>
      <c r="D41" s="31">
        <v>0.0</v>
      </c>
      <c r="E41" s="21">
        <v>0.0</v>
      </c>
      <c r="F41" s="31">
        <v>0.0</v>
      </c>
      <c r="G41" s="21">
        <v>0.0</v>
      </c>
      <c r="H41" s="31">
        <v>0.0</v>
      </c>
      <c r="I41" s="21">
        <v>0.0</v>
      </c>
      <c r="J41" s="31">
        <v>0.0</v>
      </c>
      <c r="K41" s="21">
        <v>0.0</v>
      </c>
      <c r="L41" s="31">
        <v>0.0</v>
      </c>
      <c r="M41" s="21">
        <v>0.0</v>
      </c>
      <c r="N41" s="31">
        <v>0.0</v>
      </c>
      <c r="O41" s="21">
        <v>0.0</v>
      </c>
      <c r="P41" s="31">
        <v>0.0</v>
      </c>
      <c r="Q41" s="21">
        <v>0.0</v>
      </c>
      <c r="R41" s="31">
        <v>0.0</v>
      </c>
      <c r="S41" s="21">
        <v>0.0</v>
      </c>
      <c r="T41" s="31">
        <v>0.0</v>
      </c>
      <c r="U41" s="21">
        <v>0.0</v>
      </c>
      <c r="V41" s="31">
        <v>0.0</v>
      </c>
      <c r="W41" s="21">
        <v>0.0</v>
      </c>
      <c r="X41" s="31">
        <v>0.0</v>
      </c>
      <c r="Y41" s="21">
        <v>0.0</v>
      </c>
      <c r="Z41" s="31">
        <v>0.0</v>
      </c>
      <c r="AA41" s="21">
        <v>0.0</v>
      </c>
      <c r="AB41" s="31">
        <v>0.0</v>
      </c>
    </row>
    <row r="42" ht="14.25" customHeight="1" outlineLevel="1">
      <c r="A42" s="32"/>
      <c r="B42" s="33" t="s">
        <v>39</v>
      </c>
      <c r="C42" s="28">
        <v>0.0</v>
      </c>
      <c r="D42" s="31">
        <v>0.0</v>
      </c>
      <c r="E42" s="28">
        <v>0.0</v>
      </c>
      <c r="F42" s="31">
        <v>0.0</v>
      </c>
      <c r="G42" s="28">
        <v>0.0</v>
      </c>
      <c r="H42" s="31">
        <v>0.0</v>
      </c>
      <c r="I42" s="28">
        <v>0.0</v>
      </c>
      <c r="J42" s="31">
        <v>0.0</v>
      </c>
      <c r="K42" s="28">
        <v>0.0</v>
      </c>
      <c r="L42" s="31">
        <v>0.0</v>
      </c>
      <c r="M42" s="28">
        <v>0.0</v>
      </c>
      <c r="N42" s="31">
        <v>0.0</v>
      </c>
      <c r="O42" s="28">
        <v>0.0</v>
      </c>
      <c r="P42" s="31">
        <v>0.0</v>
      </c>
      <c r="Q42" s="28">
        <v>0.0</v>
      </c>
      <c r="R42" s="31">
        <v>0.0</v>
      </c>
      <c r="S42" s="28">
        <v>0.0</v>
      </c>
      <c r="T42" s="31">
        <v>0.0</v>
      </c>
      <c r="U42" s="28">
        <v>0.0</v>
      </c>
      <c r="V42" s="31">
        <v>0.0</v>
      </c>
      <c r="W42" s="28">
        <v>0.0</v>
      </c>
      <c r="X42" s="31">
        <v>0.0</v>
      </c>
      <c r="Y42" s="28">
        <v>0.0</v>
      </c>
      <c r="Z42" s="31">
        <v>0.0</v>
      </c>
      <c r="AA42" s="28">
        <v>0.0</v>
      </c>
      <c r="AB42" s="31">
        <v>0.0</v>
      </c>
    </row>
    <row r="43" ht="64.5" customHeight="1" outlineLevel="1">
      <c r="A43" s="34" t="s">
        <v>40</v>
      </c>
      <c r="B43" s="35" t="s">
        <v>41</v>
      </c>
      <c r="C43" s="36"/>
      <c r="D43" s="36"/>
      <c r="E43" s="36"/>
      <c r="F43" s="36"/>
      <c r="G43" s="36"/>
      <c r="H43" s="37"/>
      <c r="I43" s="37"/>
      <c r="J43" s="36"/>
      <c r="K43" s="36"/>
      <c r="L43" s="36"/>
      <c r="M43" s="37"/>
      <c r="N43" s="36"/>
      <c r="O43" s="36"/>
      <c r="P43" s="37"/>
      <c r="Q43" s="37"/>
      <c r="R43" s="36"/>
      <c r="S43" s="36"/>
      <c r="T43" s="36"/>
      <c r="U43" s="36"/>
      <c r="V43" s="38"/>
      <c r="W43" s="36"/>
      <c r="X43" s="36"/>
      <c r="Y43" s="36"/>
      <c r="Z43" s="36"/>
      <c r="AA43" s="36"/>
      <c r="AB43" s="36"/>
    </row>
    <row r="44" ht="14.25" customHeight="1" outlineLevel="1">
      <c r="A44" s="39" t="s">
        <v>42</v>
      </c>
      <c r="B44" s="40" t="s">
        <v>43</v>
      </c>
      <c r="C44" s="19">
        <v>0.0</v>
      </c>
      <c r="D44" s="19">
        <v>0.0</v>
      </c>
      <c r="E44" s="19">
        <v>0.0</v>
      </c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19">
        <v>0.0</v>
      </c>
      <c r="L44" s="19">
        <v>0.0</v>
      </c>
      <c r="M44" s="19">
        <v>0.0</v>
      </c>
      <c r="N44" s="19">
        <v>0.0</v>
      </c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19">
        <v>0.0</v>
      </c>
      <c r="U44" s="19">
        <v>0.0</v>
      </c>
      <c r="V44" s="19">
        <v>0.0</v>
      </c>
      <c r="W44" s="19">
        <v>0.0</v>
      </c>
      <c r="X44" s="19">
        <v>0.0</v>
      </c>
      <c r="Y44" s="19">
        <v>0.0</v>
      </c>
      <c r="Z44" s="19">
        <v>0.0</v>
      </c>
      <c r="AA44" s="19">
        <v>0.0</v>
      </c>
      <c r="AB44" s="19">
        <v>0.0</v>
      </c>
    </row>
    <row r="45" ht="14.25" customHeight="1" outlineLevel="1">
      <c r="A45" s="20"/>
      <c r="B45" s="7" t="s">
        <v>44</v>
      </c>
      <c r="C45" s="19">
        <v>0.0</v>
      </c>
      <c r="D45" s="19">
        <v>0.0</v>
      </c>
      <c r="E45" s="19">
        <v>0.0</v>
      </c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19">
        <v>0.0</v>
      </c>
      <c r="U45" s="19">
        <v>0.0</v>
      </c>
      <c r="V45" s="19">
        <v>0.0</v>
      </c>
      <c r="W45" s="19">
        <v>0.0</v>
      </c>
      <c r="X45" s="19">
        <v>0.0</v>
      </c>
      <c r="Y45" s="19">
        <v>0.0</v>
      </c>
      <c r="Z45" s="19">
        <v>0.0</v>
      </c>
      <c r="AA45" s="19">
        <v>0.0</v>
      </c>
      <c r="AB45" s="19">
        <v>0.0</v>
      </c>
    </row>
    <row r="46" ht="14.25" customHeight="1" outlineLevel="1">
      <c r="A46" s="20"/>
      <c r="B46" s="19" t="s">
        <v>45</v>
      </c>
      <c r="C46" s="19">
        <v>0.0</v>
      </c>
      <c r="D46" s="19">
        <v>0.0</v>
      </c>
      <c r="E46" s="19">
        <v>0.0</v>
      </c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19">
        <v>0.0</v>
      </c>
      <c r="L46" s="19">
        <v>0.0</v>
      </c>
      <c r="M46" s="19">
        <v>0.0</v>
      </c>
      <c r="N46" s="19">
        <v>0.0</v>
      </c>
      <c r="O46" s="19">
        <v>0.0</v>
      </c>
      <c r="P46" s="19">
        <v>0.0</v>
      </c>
      <c r="Q46" s="19">
        <v>0.0</v>
      </c>
      <c r="R46" s="19">
        <v>0.0</v>
      </c>
      <c r="S46" s="19">
        <v>0.0</v>
      </c>
      <c r="T46" s="19">
        <v>0.0</v>
      </c>
      <c r="U46" s="19">
        <v>0.0</v>
      </c>
      <c r="V46" s="19">
        <v>0.0</v>
      </c>
      <c r="W46" s="19">
        <v>0.0</v>
      </c>
      <c r="X46" s="19">
        <v>0.0</v>
      </c>
      <c r="Y46" s="19">
        <v>0.0</v>
      </c>
      <c r="Z46" s="19">
        <v>0.0</v>
      </c>
      <c r="AA46" s="19">
        <v>0.0</v>
      </c>
      <c r="AB46" s="19">
        <v>0.0</v>
      </c>
    </row>
    <row r="47" ht="14.25" customHeight="1" outlineLevel="1">
      <c r="A47" s="20"/>
      <c r="B47" s="30" t="s">
        <v>46</v>
      </c>
      <c r="C47" s="28">
        <v>0.0</v>
      </c>
      <c r="D47" s="22">
        <v>0.0</v>
      </c>
      <c r="E47" s="28">
        <v>0.0</v>
      </c>
      <c r="F47" s="22">
        <v>0.0</v>
      </c>
      <c r="G47" s="28">
        <v>0.0</v>
      </c>
      <c r="H47" s="22">
        <v>0.0</v>
      </c>
      <c r="I47" s="28">
        <v>0.0</v>
      </c>
      <c r="J47" s="22">
        <v>0.0</v>
      </c>
      <c r="K47" s="28">
        <v>0.0</v>
      </c>
      <c r="L47" s="22">
        <v>0.0</v>
      </c>
      <c r="M47" s="28">
        <v>0.0</v>
      </c>
      <c r="N47" s="22">
        <v>0.0</v>
      </c>
      <c r="O47" s="28">
        <v>0.0</v>
      </c>
      <c r="P47" s="22">
        <v>0.0</v>
      </c>
      <c r="Q47" s="28">
        <v>0.0</v>
      </c>
      <c r="R47" s="22">
        <v>0.0</v>
      </c>
      <c r="S47" s="28">
        <v>0.0</v>
      </c>
      <c r="T47" s="22">
        <v>0.0</v>
      </c>
      <c r="U47" s="28">
        <v>0.0</v>
      </c>
      <c r="V47" s="22">
        <v>0.0</v>
      </c>
      <c r="W47" s="28">
        <v>0.0</v>
      </c>
      <c r="X47" s="22">
        <v>0.0</v>
      </c>
      <c r="Y47" s="28">
        <v>0.0</v>
      </c>
      <c r="Z47" s="22">
        <v>0.0</v>
      </c>
      <c r="AA47" s="28">
        <v>0.0</v>
      </c>
      <c r="AB47" s="22">
        <v>0.0</v>
      </c>
    </row>
    <row r="48" ht="14.25" customHeight="1" outlineLevel="1">
      <c r="A48" s="20"/>
      <c r="B48" s="30" t="s">
        <v>47</v>
      </c>
      <c r="C48" s="28">
        <v>0.0</v>
      </c>
      <c r="D48" s="22">
        <v>0.0</v>
      </c>
      <c r="E48" s="28">
        <v>0.0</v>
      </c>
      <c r="F48" s="22">
        <v>0.0</v>
      </c>
      <c r="G48" s="28">
        <v>0.0</v>
      </c>
      <c r="H48" s="22">
        <v>0.0</v>
      </c>
      <c r="I48" s="28">
        <v>0.0</v>
      </c>
      <c r="J48" s="22">
        <v>0.0</v>
      </c>
      <c r="K48" s="28">
        <v>0.0</v>
      </c>
      <c r="L48" s="22">
        <v>0.0</v>
      </c>
      <c r="M48" s="28">
        <v>0.0</v>
      </c>
      <c r="N48" s="22">
        <v>0.0</v>
      </c>
      <c r="O48" s="28">
        <v>0.0</v>
      </c>
      <c r="P48" s="22">
        <v>0.0</v>
      </c>
      <c r="Q48" s="28">
        <v>0.0</v>
      </c>
      <c r="R48" s="22">
        <v>0.0</v>
      </c>
      <c r="S48" s="28">
        <v>0.0</v>
      </c>
      <c r="T48" s="22">
        <v>0.0</v>
      </c>
      <c r="U48" s="28">
        <v>0.0</v>
      </c>
      <c r="V48" s="22">
        <v>0.0</v>
      </c>
      <c r="W48" s="28">
        <v>0.0</v>
      </c>
      <c r="X48" s="22">
        <v>0.0</v>
      </c>
      <c r="Y48" s="28">
        <v>0.0</v>
      </c>
      <c r="Z48" s="22">
        <v>0.0</v>
      </c>
      <c r="AA48" s="28">
        <v>0.0</v>
      </c>
      <c r="AB48" s="22">
        <v>0.0</v>
      </c>
    </row>
    <row r="49" ht="14.25" customHeight="1" outlineLevel="1">
      <c r="A49" s="32"/>
      <c r="B49" s="33" t="s">
        <v>48</v>
      </c>
      <c r="C49" s="30">
        <v>0.0</v>
      </c>
      <c r="D49" s="30">
        <v>0.0</v>
      </c>
      <c r="E49" s="30">
        <v>0.0</v>
      </c>
      <c r="F49" s="30">
        <v>0.0</v>
      </c>
      <c r="G49" s="30">
        <v>0.0</v>
      </c>
      <c r="H49" s="30">
        <v>0.0</v>
      </c>
      <c r="I49" s="30">
        <v>0.0</v>
      </c>
      <c r="J49" s="30">
        <v>0.0</v>
      </c>
      <c r="K49" s="30">
        <v>0.0</v>
      </c>
      <c r="L49" s="30">
        <v>0.0</v>
      </c>
      <c r="M49" s="30">
        <v>0.0</v>
      </c>
      <c r="N49" s="30">
        <v>0.0</v>
      </c>
      <c r="O49" s="30">
        <v>0.0</v>
      </c>
      <c r="P49" s="30">
        <v>0.0</v>
      </c>
      <c r="Q49" s="30">
        <v>0.0</v>
      </c>
      <c r="R49" s="30">
        <v>0.0</v>
      </c>
      <c r="S49" s="30">
        <v>0.0</v>
      </c>
      <c r="T49" s="30">
        <v>0.0</v>
      </c>
      <c r="U49" s="30">
        <v>0.0</v>
      </c>
      <c r="V49" s="30">
        <v>0.0</v>
      </c>
      <c r="W49" s="30">
        <v>0.0</v>
      </c>
      <c r="X49" s="30">
        <v>0.0</v>
      </c>
      <c r="Y49" s="30">
        <v>0.0</v>
      </c>
      <c r="Z49" s="30">
        <v>0.0</v>
      </c>
      <c r="AA49" s="30">
        <v>0.0</v>
      </c>
      <c r="AB49" s="30">
        <v>0.0</v>
      </c>
    </row>
    <row r="50" ht="14.25" customHeight="1" outlineLevel="1">
      <c r="A50" s="41" t="s">
        <v>49</v>
      </c>
      <c r="B50" s="7" t="s">
        <v>50</v>
      </c>
      <c r="C50" s="40">
        <v>0.0</v>
      </c>
      <c r="D50" s="42">
        <v>0.0</v>
      </c>
      <c r="E50" s="40">
        <v>0.0</v>
      </c>
      <c r="F50" s="42">
        <v>0.0</v>
      </c>
      <c r="G50" s="40">
        <v>0.0</v>
      </c>
      <c r="H50" s="42">
        <v>0.0</v>
      </c>
      <c r="I50" s="40">
        <v>0.0</v>
      </c>
      <c r="J50" s="42">
        <v>0.0</v>
      </c>
      <c r="K50" s="40">
        <v>0.0</v>
      </c>
      <c r="L50" s="42">
        <v>0.0</v>
      </c>
      <c r="M50" s="40">
        <v>0.0</v>
      </c>
      <c r="N50" s="42">
        <v>0.0</v>
      </c>
      <c r="O50" s="40">
        <v>0.0</v>
      </c>
      <c r="P50" s="42">
        <v>0.0</v>
      </c>
      <c r="Q50" s="40">
        <v>0.0</v>
      </c>
      <c r="R50" s="42">
        <v>0.0</v>
      </c>
      <c r="S50" s="40">
        <v>0.0</v>
      </c>
      <c r="T50" s="42">
        <v>0.0</v>
      </c>
      <c r="U50" s="40">
        <v>0.0</v>
      </c>
      <c r="V50" s="42">
        <v>0.0</v>
      </c>
      <c r="W50" s="40">
        <v>0.0</v>
      </c>
      <c r="X50" s="42">
        <v>0.0</v>
      </c>
      <c r="Y50" s="40">
        <v>0.0</v>
      </c>
      <c r="Z50" s="42">
        <v>0.0</v>
      </c>
      <c r="AA50" s="40">
        <v>0.0</v>
      </c>
      <c r="AB50" s="42">
        <v>0.0</v>
      </c>
    </row>
    <row r="51" ht="14.25" customHeight="1" outlineLevel="1">
      <c r="A51" s="20"/>
      <c r="B51" s="7" t="s">
        <v>51</v>
      </c>
      <c r="C51" s="19">
        <v>0.0</v>
      </c>
      <c r="D51" s="28">
        <v>0.0</v>
      </c>
      <c r="E51" s="19">
        <v>0.0</v>
      </c>
      <c r="F51" s="28">
        <v>0.0</v>
      </c>
      <c r="G51" s="19">
        <v>0.0</v>
      </c>
      <c r="H51" s="28">
        <v>0.0</v>
      </c>
      <c r="I51" s="19">
        <v>0.0</v>
      </c>
      <c r="J51" s="28">
        <v>0.0</v>
      </c>
      <c r="K51" s="19">
        <v>0.0</v>
      </c>
      <c r="L51" s="28">
        <v>0.0</v>
      </c>
      <c r="M51" s="19">
        <v>0.0</v>
      </c>
      <c r="N51" s="28">
        <v>0.0</v>
      </c>
      <c r="O51" s="19">
        <v>0.0</v>
      </c>
      <c r="P51" s="28">
        <v>0.0</v>
      </c>
      <c r="Q51" s="19">
        <v>0.0</v>
      </c>
      <c r="R51" s="28">
        <v>0.0</v>
      </c>
      <c r="S51" s="19">
        <v>0.0</v>
      </c>
      <c r="T51" s="28">
        <v>0.0</v>
      </c>
      <c r="U51" s="19">
        <v>0.0</v>
      </c>
      <c r="V51" s="28">
        <v>0.0</v>
      </c>
      <c r="W51" s="19">
        <v>0.0</v>
      </c>
      <c r="X51" s="28">
        <v>0.0</v>
      </c>
      <c r="Y51" s="19">
        <v>0.0</v>
      </c>
      <c r="Z51" s="28">
        <v>0.0</v>
      </c>
      <c r="AA51" s="19">
        <v>0.0</v>
      </c>
      <c r="AB51" s="28">
        <v>0.0</v>
      </c>
    </row>
    <row r="52" ht="14.25" customHeight="1" outlineLevel="1">
      <c r="A52" s="20"/>
      <c r="B52" s="7" t="s">
        <v>52</v>
      </c>
      <c r="C52" s="19">
        <v>0.0</v>
      </c>
      <c r="D52" s="28">
        <v>0.0</v>
      </c>
      <c r="E52" s="19">
        <v>0.0</v>
      </c>
      <c r="F52" s="28">
        <v>0.0</v>
      </c>
      <c r="G52" s="19">
        <v>0.0</v>
      </c>
      <c r="H52" s="28">
        <v>0.0</v>
      </c>
      <c r="I52" s="19">
        <v>0.0</v>
      </c>
      <c r="J52" s="28">
        <v>0.0</v>
      </c>
      <c r="K52" s="19">
        <v>0.0</v>
      </c>
      <c r="L52" s="28">
        <v>0.0</v>
      </c>
      <c r="M52" s="19">
        <v>0.0</v>
      </c>
      <c r="N52" s="28">
        <v>0.0</v>
      </c>
      <c r="O52" s="19">
        <v>0.0</v>
      </c>
      <c r="P52" s="28">
        <v>0.0</v>
      </c>
      <c r="Q52" s="19">
        <v>0.0</v>
      </c>
      <c r="R52" s="28">
        <v>0.0</v>
      </c>
      <c r="S52" s="19">
        <v>0.0</v>
      </c>
      <c r="T52" s="28">
        <v>0.0</v>
      </c>
      <c r="U52" s="19">
        <v>0.0</v>
      </c>
      <c r="V52" s="28">
        <v>0.0</v>
      </c>
      <c r="W52" s="19">
        <v>0.0</v>
      </c>
      <c r="X52" s="28">
        <v>0.0</v>
      </c>
      <c r="Y52" s="19">
        <v>0.0</v>
      </c>
      <c r="Z52" s="28">
        <v>0.0</v>
      </c>
      <c r="AA52" s="19">
        <v>0.0</v>
      </c>
      <c r="AB52" s="28">
        <v>0.0</v>
      </c>
    </row>
    <row r="53" ht="14.25" customHeight="1" outlineLevel="1">
      <c r="A53" s="20"/>
      <c r="B53" s="7" t="s">
        <v>53</v>
      </c>
      <c r="C53" s="19">
        <v>0.0</v>
      </c>
      <c r="D53" s="28">
        <v>0.0</v>
      </c>
      <c r="E53" s="19">
        <v>0.0</v>
      </c>
      <c r="F53" s="28">
        <v>0.0</v>
      </c>
      <c r="G53" s="19">
        <v>0.0</v>
      </c>
      <c r="H53" s="28">
        <v>0.0</v>
      </c>
      <c r="I53" s="19">
        <v>0.0</v>
      </c>
      <c r="J53" s="28">
        <v>0.0</v>
      </c>
      <c r="K53" s="19">
        <v>0.0</v>
      </c>
      <c r="L53" s="28">
        <v>0.0</v>
      </c>
      <c r="M53" s="19">
        <v>0.0</v>
      </c>
      <c r="N53" s="28">
        <v>0.0</v>
      </c>
      <c r="O53" s="19">
        <v>0.0</v>
      </c>
      <c r="P53" s="28">
        <v>0.0</v>
      </c>
      <c r="Q53" s="19">
        <v>0.0</v>
      </c>
      <c r="R53" s="28">
        <v>0.0</v>
      </c>
      <c r="S53" s="19">
        <v>0.0</v>
      </c>
      <c r="T53" s="28">
        <v>0.0</v>
      </c>
      <c r="U53" s="19">
        <v>0.0</v>
      </c>
      <c r="V53" s="28">
        <v>0.0</v>
      </c>
      <c r="W53" s="19">
        <v>0.0</v>
      </c>
      <c r="X53" s="28">
        <v>0.0</v>
      </c>
      <c r="Y53" s="19">
        <v>0.0</v>
      </c>
      <c r="Z53" s="28">
        <v>0.0</v>
      </c>
      <c r="AA53" s="19">
        <v>0.0</v>
      </c>
      <c r="AB53" s="28">
        <v>0.0</v>
      </c>
    </row>
    <row r="54" ht="14.25" customHeight="1" outlineLevel="1">
      <c r="A54" s="20"/>
      <c r="B54" s="7" t="s">
        <v>54</v>
      </c>
      <c r="C54" s="19">
        <v>0.0</v>
      </c>
      <c r="D54" s="28">
        <v>0.0</v>
      </c>
      <c r="E54" s="19">
        <v>0.0</v>
      </c>
      <c r="F54" s="28">
        <v>0.0</v>
      </c>
      <c r="G54" s="19">
        <v>0.0</v>
      </c>
      <c r="H54" s="28">
        <v>0.0</v>
      </c>
      <c r="I54" s="19">
        <v>0.0</v>
      </c>
      <c r="J54" s="28">
        <v>0.0</v>
      </c>
      <c r="K54" s="19">
        <v>0.0</v>
      </c>
      <c r="L54" s="28">
        <v>0.0</v>
      </c>
      <c r="M54" s="19">
        <v>0.0</v>
      </c>
      <c r="N54" s="28">
        <v>0.0</v>
      </c>
      <c r="O54" s="19">
        <v>0.0</v>
      </c>
      <c r="P54" s="28">
        <v>0.0</v>
      </c>
      <c r="Q54" s="19">
        <v>0.0</v>
      </c>
      <c r="R54" s="28">
        <v>0.0</v>
      </c>
      <c r="S54" s="19">
        <v>0.0</v>
      </c>
      <c r="T54" s="28">
        <v>0.0</v>
      </c>
      <c r="U54" s="19">
        <v>0.0</v>
      </c>
      <c r="V54" s="28">
        <v>0.0</v>
      </c>
      <c r="W54" s="19">
        <v>0.0</v>
      </c>
      <c r="X54" s="28">
        <v>0.0</v>
      </c>
      <c r="Y54" s="19">
        <v>0.0</v>
      </c>
      <c r="Z54" s="28">
        <v>0.0</v>
      </c>
      <c r="AA54" s="19">
        <v>0.0</v>
      </c>
      <c r="AB54" s="28">
        <v>0.0</v>
      </c>
    </row>
    <row r="55" ht="12.75" customHeight="1" outlineLevel="1">
      <c r="A55" s="20"/>
      <c r="B55" s="19" t="s">
        <v>55</v>
      </c>
      <c r="C55" s="19">
        <v>0.0</v>
      </c>
      <c r="D55" s="28">
        <v>0.0</v>
      </c>
      <c r="E55" s="19">
        <v>0.0</v>
      </c>
      <c r="F55" s="28">
        <v>0.0</v>
      </c>
      <c r="G55" s="19">
        <v>0.0</v>
      </c>
      <c r="H55" s="28">
        <v>0.0</v>
      </c>
      <c r="I55" s="19">
        <v>0.0</v>
      </c>
      <c r="J55" s="28">
        <v>0.0</v>
      </c>
      <c r="K55" s="19">
        <v>0.0</v>
      </c>
      <c r="L55" s="28">
        <v>0.0</v>
      </c>
      <c r="M55" s="19">
        <v>0.0</v>
      </c>
      <c r="N55" s="28">
        <v>0.0</v>
      </c>
      <c r="O55" s="19">
        <v>0.0</v>
      </c>
      <c r="P55" s="28">
        <v>0.0</v>
      </c>
      <c r="Q55" s="19">
        <v>0.0</v>
      </c>
      <c r="R55" s="28">
        <v>0.0</v>
      </c>
      <c r="S55" s="19">
        <v>0.0</v>
      </c>
      <c r="T55" s="28">
        <v>0.0</v>
      </c>
      <c r="U55" s="19">
        <v>0.0</v>
      </c>
      <c r="V55" s="28">
        <v>0.0</v>
      </c>
      <c r="W55" s="19">
        <v>0.0</v>
      </c>
      <c r="X55" s="28">
        <v>0.0</v>
      </c>
      <c r="Y55" s="19">
        <v>0.0</v>
      </c>
      <c r="Z55" s="28">
        <v>0.0</v>
      </c>
      <c r="AA55" s="19">
        <v>0.0</v>
      </c>
      <c r="AB55" s="28">
        <v>0.0</v>
      </c>
    </row>
    <row r="56" ht="14.25" customHeight="1" outlineLevel="1">
      <c r="A56" s="20"/>
      <c r="B56" s="19" t="s">
        <v>56</v>
      </c>
      <c r="C56" s="19">
        <v>0.0</v>
      </c>
      <c r="D56" s="28">
        <v>0.0</v>
      </c>
      <c r="E56" s="19">
        <v>0.0</v>
      </c>
      <c r="F56" s="28">
        <v>0.0</v>
      </c>
      <c r="G56" s="19">
        <v>0.0</v>
      </c>
      <c r="H56" s="28">
        <v>0.0</v>
      </c>
      <c r="I56" s="19">
        <v>0.0</v>
      </c>
      <c r="J56" s="28">
        <v>0.0</v>
      </c>
      <c r="K56" s="19">
        <v>0.0</v>
      </c>
      <c r="L56" s="28">
        <v>0.0</v>
      </c>
      <c r="M56" s="19">
        <v>0.0</v>
      </c>
      <c r="N56" s="28">
        <v>0.0</v>
      </c>
      <c r="O56" s="19">
        <v>0.0</v>
      </c>
      <c r="P56" s="28">
        <v>0.0</v>
      </c>
      <c r="Q56" s="19">
        <v>0.0</v>
      </c>
      <c r="R56" s="28">
        <v>0.0</v>
      </c>
      <c r="S56" s="19">
        <v>0.0</v>
      </c>
      <c r="T56" s="28">
        <v>0.0</v>
      </c>
      <c r="U56" s="19">
        <v>0.0</v>
      </c>
      <c r="V56" s="28">
        <v>0.0</v>
      </c>
      <c r="W56" s="19">
        <v>0.0</v>
      </c>
      <c r="X56" s="28">
        <v>0.0</v>
      </c>
      <c r="Y56" s="19">
        <v>0.0</v>
      </c>
      <c r="Z56" s="28">
        <v>0.0</v>
      </c>
      <c r="AA56" s="19">
        <v>0.0</v>
      </c>
      <c r="AB56" s="28">
        <v>0.0</v>
      </c>
    </row>
    <row r="57" ht="14.25" customHeight="1" outlineLevel="1">
      <c r="A57" s="20"/>
      <c r="B57" s="19" t="s">
        <v>57</v>
      </c>
      <c r="C57" s="19">
        <v>0.0</v>
      </c>
      <c r="D57" s="28">
        <v>0.0</v>
      </c>
      <c r="E57" s="19">
        <v>0.0</v>
      </c>
      <c r="F57" s="28">
        <v>0.0</v>
      </c>
      <c r="G57" s="19">
        <v>0.0</v>
      </c>
      <c r="H57" s="28">
        <v>0.0</v>
      </c>
      <c r="I57" s="19">
        <v>0.0</v>
      </c>
      <c r="J57" s="28">
        <v>0.0</v>
      </c>
      <c r="K57" s="19">
        <v>0.0</v>
      </c>
      <c r="L57" s="28">
        <v>0.0</v>
      </c>
      <c r="M57" s="19">
        <v>0.0</v>
      </c>
      <c r="N57" s="28">
        <v>0.0</v>
      </c>
      <c r="O57" s="19">
        <v>0.0</v>
      </c>
      <c r="P57" s="28">
        <v>0.0</v>
      </c>
      <c r="Q57" s="19">
        <v>0.0</v>
      </c>
      <c r="R57" s="28">
        <v>0.0</v>
      </c>
      <c r="S57" s="19">
        <v>0.0</v>
      </c>
      <c r="T57" s="28">
        <v>0.0</v>
      </c>
      <c r="U57" s="19">
        <v>0.0</v>
      </c>
      <c r="V57" s="28">
        <v>0.0</v>
      </c>
      <c r="W57" s="19">
        <v>0.0</v>
      </c>
      <c r="X57" s="28">
        <v>0.0</v>
      </c>
      <c r="Y57" s="19">
        <v>0.0</v>
      </c>
      <c r="Z57" s="28">
        <v>0.0</v>
      </c>
      <c r="AA57" s="19">
        <v>0.0</v>
      </c>
      <c r="AB57" s="28">
        <v>0.0</v>
      </c>
    </row>
    <row r="58" ht="14.25" customHeight="1" outlineLevel="1">
      <c r="A58" s="32"/>
      <c r="B58" s="43" t="s">
        <v>39</v>
      </c>
      <c r="C58" s="19">
        <v>0.0</v>
      </c>
      <c r="D58" s="44">
        <v>0.0</v>
      </c>
      <c r="E58" s="19">
        <v>0.0</v>
      </c>
      <c r="F58" s="44">
        <v>0.0</v>
      </c>
      <c r="G58" s="19">
        <v>0.0</v>
      </c>
      <c r="H58" s="44">
        <v>0.0</v>
      </c>
      <c r="I58" s="19">
        <v>0.0</v>
      </c>
      <c r="J58" s="44">
        <v>0.0</v>
      </c>
      <c r="K58" s="19">
        <v>0.0</v>
      </c>
      <c r="L58" s="44">
        <v>0.0</v>
      </c>
      <c r="M58" s="19">
        <v>0.0</v>
      </c>
      <c r="N58" s="44">
        <v>0.0</v>
      </c>
      <c r="O58" s="19">
        <v>0.0</v>
      </c>
      <c r="P58" s="44">
        <v>0.0</v>
      </c>
      <c r="Q58" s="19">
        <v>0.0</v>
      </c>
      <c r="R58" s="44">
        <v>0.0</v>
      </c>
      <c r="S58" s="19">
        <v>0.0</v>
      </c>
      <c r="T58" s="44">
        <v>0.0</v>
      </c>
      <c r="U58" s="19">
        <v>0.0</v>
      </c>
      <c r="V58" s="44">
        <v>0.0</v>
      </c>
      <c r="W58" s="19">
        <v>0.0</v>
      </c>
      <c r="X58" s="44">
        <v>0.0</v>
      </c>
      <c r="Y58" s="19">
        <v>0.0</v>
      </c>
      <c r="Z58" s="44">
        <v>0.0</v>
      </c>
      <c r="AA58" s="19">
        <v>0.0</v>
      </c>
      <c r="AB58" s="44">
        <v>0.0</v>
      </c>
    </row>
    <row r="59" ht="14.25" customHeight="1">
      <c r="A59" s="45"/>
      <c r="B59" s="24" t="s">
        <v>58</v>
      </c>
      <c r="C59" s="24">
        <f t="shared" ref="C59:AB59" si="5">SUM(C29:C58)</f>
        <v>0</v>
      </c>
      <c r="D59" s="24">
        <f t="shared" si="5"/>
        <v>0</v>
      </c>
      <c r="E59" s="24">
        <f t="shared" si="5"/>
        <v>0</v>
      </c>
      <c r="F59" s="24">
        <f t="shared" si="5"/>
        <v>0</v>
      </c>
      <c r="G59" s="24">
        <f t="shared" si="5"/>
        <v>0</v>
      </c>
      <c r="H59" s="24">
        <f t="shared" si="5"/>
        <v>0</v>
      </c>
      <c r="I59" s="24">
        <f t="shared" si="5"/>
        <v>0</v>
      </c>
      <c r="J59" s="24">
        <f t="shared" si="5"/>
        <v>0</v>
      </c>
      <c r="K59" s="24">
        <f t="shared" si="5"/>
        <v>0</v>
      </c>
      <c r="L59" s="24">
        <f t="shared" si="5"/>
        <v>0</v>
      </c>
      <c r="M59" s="24">
        <f t="shared" si="5"/>
        <v>0</v>
      </c>
      <c r="N59" s="24">
        <f t="shared" si="5"/>
        <v>0</v>
      </c>
      <c r="O59" s="24">
        <f t="shared" si="5"/>
        <v>0</v>
      </c>
      <c r="P59" s="24">
        <f t="shared" si="5"/>
        <v>0</v>
      </c>
      <c r="Q59" s="24">
        <f t="shared" si="5"/>
        <v>0</v>
      </c>
      <c r="R59" s="24">
        <f t="shared" si="5"/>
        <v>0</v>
      </c>
      <c r="S59" s="24">
        <f t="shared" si="5"/>
        <v>0</v>
      </c>
      <c r="T59" s="24">
        <f t="shared" si="5"/>
        <v>0</v>
      </c>
      <c r="U59" s="24">
        <f t="shared" si="5"/>
        <v>0</v>
      </c>
      <c r="V59" s="24">
        <f t="shared" si="5"/>
        <v>0</v>
      </c>
      <c r="W59" s="24">
        <f t="shared" si="5"/>
        <v>0</v>
      </c>
      <c r="X59" s="24">
        <f t="shared" si="5"/>
        <v>0</v>
      </c>
      <c r="Y59" s="24">
        <f t="shared" si="5"/>
        <v>0</v>
      </c>
      <c r="Z59" s="24">
        <f t="shared" si="5"/>
        <v>0</v>
      </c>
      <c r="AA59" s="24">
        <f t="shared" si="5"/>
        <v>0</v>
      </c>
      <c r="AB59" s="24">
        <f t="shared" si="5"/>
        <v>0</v>
      </c>
    </row>
    <row r="60" ht="14.25" customHeight="1">
      <c r="A60" s="7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ht="14.25" customHeight="1">
      <c r="A61" s="10"/>
      <c r="B61" s="11" t="s">
        <v>59</v>
      </c>
      <c r="C61" s="46">
        <f t="shared" ref="C61:AB61" si="6">+C4+C27-C59</f>
        <v>0</v>
      </c>
      <c r="D61" s="46">
        <f t="shared" si="6"/>
        <v>0</v>
      </c>
      <c r="E61" s="46">
        <f t="shared" si="6"/>
        <v>0</v>
      </c>
      <c r="F61" s="46">
        <f t="shared" si="6"/>
        <v>0</v>
      </c>
      <c r="G61" s="46">
        <f t="shared" si="6"/>
        <v>0</v>
      </c>
      <c r="H61" s="46">
        <f t="shared" si="6"/>
        <v>0</v>
      </c>
      <c r="I61" s="46">
        <f t="shared" si="6"/>
        <v>0</v>
      </c>
      <c r="J61" s="46">
        <f t="shared" si="6"/>
        <v>0</v>
      </c>
      <c r="K61" s="46">
        <f t="shared" si="6"/>
        <v>0</v>
      </c>
      <c r="L61" s="46">
        <f t="shared" si="6"/>
        <v>0</v>
      </c>
      <c r="M61" s="46">
        <f t="shared" si="6"/>
        <v>0</v>
      </c>
      <c r="N61" s="46">
        <f t="shared" si="6"/>
        <v>0</v>
      </c>
      <c r="O61" s="46">
        <f t="shared" si="6"/>
        <v>0</v>
      </c>
      <c r="P61" s="46">
        <f t="shared" si="6"/>
        <v>0</v>
      </c>
      <c r="Q61" s="46">
        <f t="shared" si="6"/>
        <v>0</v>
      </c>
      <c r="R61" s="46">
        <f t="shared" si="6"/>
        <v>0</v>
      </c>
      <c r="S61" s="46">
        <f t="shared" si="6"/>
        <v>0</v>
      </c>
      <c r="T61" s="46">
        <f t="shared" si="6"/>
        <v>0</v>
      </c>
      <c r="U61" s="46">
        <f t="shared" si="6"/>
        <v>0</v>
      </c>
      <c r="V61" s="46">
        <f t="shared" si="6"/>
        <v>0</v>
      </c>
      <c r="W61" s="46">
        <f t="shared" si="6"/>
        <v>0</v>
      </c>
      <c r="X61" s="46">
        <f t="shared" si="6"/>
        <v>0</v>
      </c>
      <c r="Y61" s="46">
        <f t="shared" si="6"/>
        <v>0</v>
      </c>
      <c r="Z61" s="46">
        <f t="shared" si="6"/>
        <v>0</v>
      </c>
      <c r="AA61" s="46">
        <f t="shared" si="6"/>
        <v>0</v>
      </c>
      <c r="AB61" s="46">
        <f t="shared" si="6"/>
        <v>0</v>
      </c>
    </row>
    <row r="62" ht="14.25" customHeight="1">
      <c r="A62" s="7"/>
      <c r="B62" s="7" t="s">
        <v>60</v>
      </c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</row>
    <row r="63" ht="14.25" customHeight="1">
      <c r="A63" s="7"/>
      <c r="B63" s="7" t="s">
        <v>61</v>
      </c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</row>
    <row r="64" ht="14.25" customHeight="1">
      <c r="A64" s="7"/>
      <c r="B64" s="7"/>
      <c r="C64" s="47"/>
      <c r="D64" s="48"/>
      <c r="E64" s="48"/>
      <c r="F64" s="48"/>
      <c r="G64" s="49" t="s">
        <v>62</v>
      </c>
      <c r="H64" s="48"/>
      <c r="I64" s="49" t="s">
        <v>63</v>
      </c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</row>
    <row r="65" ht="14.25" customHeight="1">
      <c r="A65" s="7"/>
      <c r="B65" s="7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 ht="14.25" customHeight="1">
      <c r="A66" s="7"/>
      <c r="B66" s="7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</row>
    <row r="67" ht="14.25" customHeight="1">
      <c r="A67" s="7"/>
      <c r="B67" s="50" t="s">
        <v>64</v>
      </c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</row>
    <row r="68" ht="14.25" customHeight="1">
      <c r="A68" s="7"/>
      <c r="B68" s="50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</row>
    <row r="69" ht="14.25" customHeight="1">
      <c r="A69" s="7"/>
      <c r="B69" s="50" t="s">
        <v>65</v>
      </c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</row>
    <row r="70" ht="14.25" customHeight="1">
      <c r="A70" s="7"/>
      <c r="B70" s="7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 ht="14.25" customHeight="1">
      <c r="A71" s="7"/>
      <c r="B71" s="7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 ht="14.25" customHeight="1">
      <c r="A72" s="7"/>
      <c r="B72" s="7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 ht="14.25" customHeight="1">
      <c r="A73" s="7"/>
      <c r="B73" s="7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</row>
    <row r="74" ht="14.25" customHeight="1">
      <c r="A74" s="7"/>
      <c r="B74" s="7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</row>
    <row r="75" ht="14.25" customHeight="1">
      <c r="A75" s="7"/>
      <c r="B75" s="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</row>
    <row r="76" ht="14.25" customHeight="1">
      <c r="A76" s="7"/>
      <c r="B76" s="7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</row>
    <row r="77" ht="14.25" customHeight="1">
      <c r="A77" s="7"/>
      <c r="B77" s="7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</row>
    <row r="78" ht="14.25" customHeight="1">
      <c r="A78" s="7"/>
      <c r="B78" s="7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</row>
    <row r="79" ht="14.25" customHeight="1">
      <c r="A79" s="7"/>
      <c r="B79" s="7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 ht="14.25" customHeight="1">
      <c r="A80" s="7"/>
      <c r="B80" s="7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</row>
    <row r="81" ht="14.25" customHeight="1">
      <c r="A81" s="7"/>
      <c r="B81" s="7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</row>
    <row r="82" ht="14.25" customHeight="1">
      <c r="A82" s="7"/>
      <c r="B82" s="7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</row>
    <row r="83" ht="14.25" customHeight="1">
      <c r="A83" s="7"/>
      <c r="B83" s="7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</row>
    <row r="84" ht="14.25" customHeight="1">
      <c r="A84" s="7"/>
      <c r="B84" s="7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</row>
    <row r="85" ht="14.25" customHeight="1">
      <c r="A85" s="7"/>
      <c r="B85" s="7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</row>
    <row r="86" ht="14.25" customHeight="1">
      <c r="A86" s="7"/>
      <c r="B86" s="7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 ht="14.25" customHeight="1">
      <c r="A87" s="7"/>
      <c r="B87" s="7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 ht="14.25" customHeight="1">
      <c r="A88" s="7"/>
      <c r="B88" s="7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 ht="14.25" customHeight="1">
      <c r="A89" s="7"/>
      <c r="B89" s="7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</row>
    <row r="90" ht="14.25" customHeight="1">
      <c r="A90" s="7"/>
      <c r="B90" s="7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</row>
    <row r="91" ht="14.25" customHeight="1">
      <c r="A91" s="7"/>
      <c r="B91" s="7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</row>
    <row r="92" ht="14.25" customHeight="1">
      <c r="A92" s="7"/>
      <c r="B92" s="7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</row>
    <row r="93" ht="14.25" customHeight="1">
      <c r="A93" s="7"/>
      <c r="B93" s="7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 ht="14.25" customHeight="1">
      <c r="A94" s="7"/>
      <c r="B94" s="7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</row>
    <row r="95" ht="14.25" customHeight="1">
      <c r="A95" s="7"/>
      <c r="B95" s="7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</row>
    <row r="96" ht="14.25" customHeight="1">
      <c r="A96" s="7"/>
      <c r="B96" s="7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</row>
    <row r="97" ht="14.25" customHeight="1">
      <c r="A97" s="7"/>
      <c r="B97" s="7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</row>
    <row r="98" ht="14.25" customHeight="1">
      <c r="A98" s="7"/>
      <c r="B98" s="7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</row>
    <row r="99" ht="14.25" customHeight="1">
      <c r="A99" s="7"/>
      <c r="B99" s="7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</row>
    <row r="100" ht="14.25" customHeight="1">
      <c r="A100" s="7"/>
      <c r="B100" s="7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 ht="14.25" customHeight="1">
      <c r="A101" s="7"/>
      <c r="B101" s="7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</row>
    <row r="102" ht="14.25" customHeight="1">
      <c r="A102" s="7"/>
      <c r="B102" s="7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</row>
    <row r="103" ht="14.25" customHeight="1">
      <c r="A103" s="7"/>
      <c r="B103" s="7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 ht="14.25" customHeight="1">
      <c r="A104" s="7"/>
      <c r="B104" s="7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 ht="14.25" customHeight="1">
      <c r="A105" s="7"/>
      <c r="B105" s="7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 ht="14.25" customHeight="1">
      <c r="A106" s="7"/>
      <c r="B106" s="7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 ht="14.25" customHeight="1">
      <c r="A107" s="7"/>
      <c r="B107" s="7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 ht="14.25" customHeight="1">
      <c r="A108" s="7"/>
      <c r="B108" s="7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 ht="14.25" customHeight="1">
      <c r="A109" s="7"/>
      <c r="B109" s="7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 ht="14.25" customHeight="1">
      <c r="A110" s="7"/>
      <c r="B110" s="7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 ht="14.25" customHeight="1">
      <c r="A111" s="7"/>
      <c r="B111" s="7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 ht="14.25" customHeight="1">
      <c r="A112" s="7"/>
      <c r="B112" s="7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 ht="14.25" customHeight="1">
      <c r="A113" s="7"/>
      <c r="B113" s="7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 ht="14.25" customHeight="1">
      <c r="A114" s="7"/>
      <c r="B114" s="7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 ht="14.25" customHeight="1">
      <c r="A115" s="7"/>
      <c r="B115" s="7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 ht="14.25" customHeight="1">
      <c r="A116" s="7"/>
      <c r="B116" s="7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 ht="14.25" customHeight="1">
      <c r="A117" s="7"/>
      <c r="B117" s="7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 ht="14.25" customHeight="1">
      <c r="A118" s="7"/>
      <c r="B118" s="7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 ht="14.25" customHeight="1">
      <c r="A119" s="7"/>
      <c r="B119" s="7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 ht="14.25" customHeight="1">
      <c r="A120" s="7"/>
      <c r="B120" s="7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 ht="14.25" customHeight="1">
      <c r="A121" s="7"/>
      <c r="B121" s="7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 ht="14.25" customHeight="1">
      <c r="A122" s="7"/>
      <c r="B122" s="7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 ht="14.25" customHeight="1">
      <c r="A123" s="7"/>
      <c r="B123" s="7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 ht="14.25" customHeight="1">
      <c r="A124" s="7"/>
      <c r="B124" s="7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 ht="14.25" customHeight="1">
      <c r="A125" s="7"/>
      <c r="B125" s="7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 ht="14.25" customHeight="1">
      <c r="A126" s="7"/>
      <c r="B126" s="7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 ht="14.25" customHeight="1">
      <c r="A127" s="7"/>
      <c r="B127" s="7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 ht="14.25" customHeight="1">
      <c r="A128" s="7"/>
      <c r="B128" s="7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 ht="14.25" customHeight="1">
      <c r="A129" s="7"/>
      <c r="B129" s="7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 ht="14.25" customHeight="1">
      <c r="A130" s="7"/>
      <c r="B130" s="7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 ht="14.25" customHeight="1">
      <c r="A131" s="7"/>
      <c r="B131" s="7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 ht="14.25" customHeight="1">
      <c r="A132" s="7"/>
      <c r="B132" s="7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 ht="14.25" customHeight="1">
      <c r="A133" s="7"/>
      <c r="B133" s="7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 ht="14.25" customHeight="1">
      <c r="A134" s="7"/>
      <c r="B134" s="7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 ht="14.25" customHeight="1">
      <c r="A135" s="7"/>
      <c r="B135" s="7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</row>
    <row r="136" ht="14.25" customHeight="1">
      <c r="A136" s="7"/>
      <c r="B136" s="7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</row>
    <row r="137" ht="14.25" customHeight="1">
      <c r="A137" s="7"/>
      <c r="B137" s="7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</row>
    <row r="138" ht="14.25" customHeight="1">
      <c r="A138" s="7"/>
      <c r="B138" s="7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</row>
    <row r="139" ht="14.25" customHeight="1">
      <c r="A139" s="7"/>
      <c r="B139" s="7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</row>
    <row r="140" ht="14.25" customHeight="1">
      <c r="A140" s="7"/>
      <c r="B140" s="7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</row>
    <row r="141" ht="14.25" customHeight="1">
      <c r="A141" s="7"/>
      <c r="B141" s="7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</row>
    <row r="142" ht="14.25" customHeight="1">
      <c r="A142" s="7"/>
      <c r="B142" s="7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</row>
    <row r="143" ht="14.25" customHeight="1">
      <c r="A143" s="7"/>
      <c r="B143" s="7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</row>
    <row r="144" ht="14.25" customHeight="1">
      <c r="A144" s="7"/>
      <c r="B144" s="7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</row>
    <row r="145" ht="14.25" customHeight="1">
      <c r="A145" s="7"/>
      <c r="B145" s="7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</row>
    <row r="146" ht="14.25" customHeight="1">
      <c r="A146" s="7"/>
      <c r="B146" s="7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</row>
    <row r="147" ht="14.25" customHeight="1">
      <c r="A147" s="7"/>
      <c r="B147" s="7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</row>
    <row r="148" ht="14.25" customHeight="1">
      <c r="A148" s="7"/>
      <c r="B148" s="7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</row>
    <row r="149" ht="14.25" customHeight="1">
      <c r="A149" s="7"/>
      <c r="B149" s="7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</row>
    <row r="150" ht="14.25" customHeight="1">
      <c r="A150" s="7"/>
      <c r="B150" s="7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</row>
    <row r="151" ht="14.25" customHeight="1">
      <c r="A151" s="7"/>
      <c r="B151" s="7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</row>
    <row r="152" ht="14.25" customHeight="1">
      <c r="A152" s="7"/>
      <c r="B152" s="7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</row>
    <row r="153" ht="14.25" customHeight="1">
      <c r="A153" s="7"/>
      <c r="B153" s="7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</row>
    <row r="154" ht="14.25" customHeight="1">
      <c r="A154" s="7"/>
      <c r="B154" s="7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 ht="14.25" customHeight="1">
      <c r="A155" s="7"/>
      <c r="B155" s="7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 ht="14.25" customHeight="1">
      <c r="A156" s="7"/>
      <c r="B156" s="7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 ht="14.25" customHeight="1">
      <c r="A157" s="7"/>
      <c r="B157" s="7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 ht="14.25" customHeight="1">
      <c r="A158" s="7"/>
      <c r="B158" s="7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 ht="14.25" customHeight="1">
      <c r="A159" s="7"/>
      <c r="B159" s="7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 ht="14.25" customHeight="1">
      <c r="A160" s="7"/>
      <c r="B160" s="7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 ht="14.25" customHeight="1">
      <c r="A161" s="7"/>
      <c r="B161" s="7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 ht="14.25" customHeight="1">
      <c r="A162" s="7"/>
      <c r="B162" s="7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 ht="14.25" customHeight="1">
      <c r="A163" s="7"/>
      <c r="B163" s="7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 ht="14.25" customHeight="1">
      <c r="A164" s="7"/>
      <c r="B164" s="7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 ht="14.25" customHeight="1">
      <c r="A165" s="7"/>
      <c r="B165" s="7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 ht="14.25" customHeight="1">
      <c r="A166" s="7"/>
      <c r="B166" s="7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 ht="14.25" customHeight="1">
      <c r="A167" s="7"/>
      <c r="B167" s="7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 ht="14.25" customHeight="1">
      <c r="A168" s="7"/>
      <c r="B168" s="7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 ht="14.25" customHeight="1">
      <c r="A169" s="7"/>
      <c r="B169" s="7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 ht="14.25" customHeight="1">
      <c r="A170" s="7"/>
      <c r="B170" s="7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 ht="14.25" customHeight="1">
      <c r="A171" s="7"/>
      <c r="B171" s="7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 ht="14.25" customHeight="1">
      <c r="A172" s="7"/>
      <c r="B172" s="7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 ht="14.25" customHeight="1">
      <c r="A173" s="7"/>
      <c r="B173" s="7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 ht="14.25" customHeight="1">
      <c r="A174" s="7"/>
      <c r="B174" s="7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 ht="14.25" customHeight="1">
      <c r="A175" s="7"/>
      <c r="B175" s="7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 ht="14.25" customHeight="1">
      <c r="A176" s="7"/>
      <c r="B176" s="7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 ht="14.25" customHeight="1">
      <c r="A177" s="7"/>
      <c r="B177" s="7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 ht="14.25" customHeight="1">
      <c r="A178" s="7"/>
      <c r="B178" s="7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 ht="14.25" customHeight="1">
      <c r="A179" s="7"/>
      <c r="B179" s="7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 ht="14.25" customHeight="1">
      <c r="A180" s="7"/>
      <c r="B180" s="7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 ht="14.25" customHeight="1">
      <c r="A181" s="7"/>
      <c r="B181" s="7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 ht="14.25" customHeight="1">
      <c r="A182" s="7"/>
      <c r="B182" s="7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 ht="14.25" customHeight="1">
      <c r="A183" s="7"/>
      <c r="B183" s="7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 ht="14.25" customHeight="1">
      <c r="A184" s="7"/>
      <c r="B184" s="7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 ht="14.25" customHeight="1">
      <c r="A185" s="7"/>
      <c r="B185" s="7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 ht="14.25" customHeight="1">
      <c r="A186" s="7"/>
      <c r="B186" s="7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 ht="14.25" customHeight="1">
      <c r="A187" s="7"/>
      <c r="B187" s="7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 ht="14.25" customHeight="1">
      <c r="A188" s="7"/>
      <c r="B188" s="7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 ht="14.25" customHeight="1">
      <c r="A189" s="7"/>
      <c r="B189" s="7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 ht="14.25" customHeight="1">
      <c r="A190" s="7"/>
      <c r="B190" s="7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 ht="14.25" customHeight="1">
      <c r="A191" s="7"/>
      <c r="B191" s="7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 ht="14.25" customHeight="1">
      <c r="A192" s="7"/>
      <c r="B192" s="7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 ht="14.25" customHeight="1">
      <c r="A193" s="7"/>
      <c r="B193" s="7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 ht="14.25" customHeight="1">
      <c r="A194" s="7"/>
      <c r="B194" s="7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 ht="14.25" customHeight="1">
      <c r="A195" s="7"/>
      <c r="B195" s="7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 ht="14.25" customHeight="1">
      <c r="A196" s="7"/>
      <c r="B196" s="7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</row>
    <row r="197" ht="14.25" customHeight="1">
      <c r="A197" s="7"/>
      <c r="B197" s="7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</row>
    <row r="198" ht="14.25" customHeight="1">
      <c r="A198" s="7"/>
      <c r="B198" s="7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</row>
    <row r="199" ht="14.25" customHeight="1">
      <c r="A199" s="7"/>
      <c r="B199" s="7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</row>
    <row r="200" ht="14.25" customHeight="1">
      <c r="A200" s="7"/>
      <c r="B200" s="7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</row>
    <row r="201" ht="14.25" customHeight="1">
      <c r="A201" s="7"/>
      <c r="B201" s="7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 ht="14.25" customHeight="1">
      <c r="A202" s="7"/>
      <c r="B202" s="7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 ht="14.25" customHeight="1">
      <c r="A203" s="7"/>
      <c r="B203" s="7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 ht="14.25" customHeight="1">
      <c r="A204" s="7"/>
      <c r="B204" s="7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 ht="14.25" customHeight="1">
      <c r="A205" s="7"/>
      <c r="B205" s="7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 ht="14.25" customHeight="1">
      <c r="A206" s="7"/>
      <c r="B206" s="7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 ht="14.25" customHeight="1">
      <c r="A207" s="7"/>
      <c r="B207" s="7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 ht="14.25" customHeight="1">
      <c r="A208" s="7"/>
      <c r="B208" s="7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 ht="14.25" customHeight="1">
      <c r="A209" s="7"/>
      <c r="B209" s="7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 ht="14.25" customHeight="1">
      <c r="A210" s="7"/>
      <c r="B210" s="7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 ht="14.25" customHeight="1">
      <c r="A211" s="7"/>
      <c r="B211" s="7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</row>
    <row r="212" ht="14.25" customHeight="1">
      <c r="A212" s="7"/>
      <c r="B212" s="7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</row>
    <row r="213" ht="14.25" customHeight="1">
      <c r="A213" s="7"/>
      <c r="B213" s="7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 ht="14.25" customHeight="1">
      <c r="A214" s="7"/>
      <c r="B214" s="7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 ht="14.25" customHeight="1">
      <c r="A215" s="7"/>
      <c r="B215" s="7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 ht="14.25" customHeight="1">
      <c r="A216" s="7"/>
      <c r="B216" s="7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 ht="14.25" customHeight="1">
      <c r="A217" s="7"/>
      <c r="B217" s="7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 ht="14.25" customHeight="1">
      <c r="A218" s="7"/>
      <c r="B218" s="7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 ht="14.25" customHeight="1">
      <c r="A219" s="7"/>
      <c r="B219" s="7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 ht="14.25" customHeight="1">
      <c r="A220" s="7"/>
      <c r="B220" s="7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 ht="14.25" customHeight="1">
      <c r="A221" s="7"/>
      <c r="B221" s="7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 ht="14.25" customHeight="1">
      <c r="A222" s="7"/>
      <c r="B222" s="7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 ht="14.25" customHeight="1">
      <c r="A223" s="7"/>
      <c r="B223" s="7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 ht="14.25" customHeight="1">
      <c r="A224" s="7"/>
      <c r="B224" s="7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 ht="14.25" customHeight="1">
      <c r="A225" s="7"/>
      <c r="B225" s="7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 ht="14.25" customHeight="1">
      <c r="A226" s="7"/>
      <c r="B226" s="7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 ht="14.25" customHeight="1">
      <c r="A227" s="7"/>
      <c r="B227" s="7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 ht="14.25" customHeight="1">
      <c r="A228" s="7"/>
      <c r="B228" s="7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 ht="14.25" customHeight="1">
      <c r="A229" s="7"/>
      <c r="B229" s="7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 ht="14.25" customHeight="1">
      <c r="A230" s="7"/>
      <c r="B230" s="7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 ht="14.25" customHeight="1">
      <c r="A231" s="7"/>
      <c r="B231" s="7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 ht="14.25" customHeight="1">
      <c r="A232" s="7"/>
      <c r="B232" s="7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 ht="14.25" customHeight="1">
      <c r="A233" s="7"/>
      <c r="B233" s="7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 ht="14.25" customHeight="1">
      <c r="A234" s="7"/>
      <c r="B234" s="7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 ht="14.25" customHeight="1">
      <c r="A235" s="7"/>
      <c r="B235" s="7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 ht="14.25" customHeight="1">
      <c r="A236" s="7"/>
      <c r="B236" s="7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 ht="14.25" customHeight="1">
      <c r="A237" s="7"/>
      <c r="B237" s="7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 ht="14.25" customHeight="1">
      <c r="A238" s="7"/>
      <c r="B238" s="7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 ht="14.25" customHeight="1">
      <c r="A239" s="7"/>
      <c r="B239" s="7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 ht="14.25" customHeight="1">
      <c r="A240" s="7"/>
      <c r="B240" s="7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 ht="14.25" customHeight="1">
      <c r="A241" s="7"/>
      <c r="B241" s="7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 ht="14.25" customHeight="1">
      <c r="A242" s="7"/>
      <c r="B242" s="7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 ht="14.25" customHeight="1">
      <c r="A243" s="7"/>
      <c r="B243" s="7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 ht="14.25" customHeight="1">
      <c r="A244" s="7"/>
      <c r="B244" s="7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 ht="14.25" customHeight="1">
      <c r="A245" s="7"/>
      <c r="B245" s="7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 ht="14.25" customHeight="1">
      <c r="A246" s="7"/>
      <c r="B246" s="7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 ht="14.25" customHeight="1">
      <c r="A247" s="7"/>
      <c r="B247" s="7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 ht="14.25" customHeight="1">
      <c r="A248" s="7"/>
      <c r="B248" s="7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 ht="14.25" customHeight="1">
      <c r="A249" s="7"/>
      <c r="B249" s="7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 ht="14.25" customHeight="1">
      <c r="A250" s="7"/>
      <c r="B250" s="7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 ht="14.25" customHeight="1">
      <c r="A251" s="7"/>
      <c r="B251" s="7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 ht="14.25" customHeight="1">
      <c r="A252" s="7"/>
      <c r="B252" s="7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 ht="14.25" customHeight="1">
      <c r="A253" s="7"/>
      <c r="B253" s="7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 ht="14.25" customHeight="1">
      <c r="A254" s="7"/>
      <c r="B254" s="7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 ht="14.25" customHeight="1">
      <c r="A255" s="7"/>
      <c r="B255" s="7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 ht="14.25" customHeight="1">
      <c r="A256" s="7"/>
      <c r="B256" s="7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 ht="14.25" customHeight="1">
      <c r="A257" s="7"/>
      <c r="B257" s="7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 ht="14.25" customHeight="1">
      <c r="A258" s="7"/>
      <c r="B258" s="7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 ht="14.25" customHeight="1">
      <c r="A259" s="7"/>
      <c r="B259" s="7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 ht="14.25" customHeight="1">
      <c r="A260" s="7"/>
      <c r="B260" s="7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 ht="14.25" customHeight="1">
      <c r="A261" s="7"/>
      <c r="B261" s="7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 ht="14.25" customHeight="1">
      <c r="A262" s="7"/>
      <c r="B262" s="7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 ht="14.25" customHeight="1">
      <c r="A263" s="7"/>
      <c r="B263" s="7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 ht="14.25" customHeight="1">
      <c r="A264" s="7"/>
      <c r="B264" s="7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 ht="14.25" customHeight="1">
      <c r="A265" s="7"/>
      <c r="B265" s="7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 ht="14.25" customHeight="1">
      <c r="A266" s="7"/>
      <c r="B266" s="7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 ht="14.25" customHeight="1">
      <c r="A267" s="7"/>
      <c r="B267" s="7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 ht="14.25" customHeight="1">
      <c r="A268" s="7"/>
      <c r="B268" s="7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 ht="14.25" customHeight="1">
      <c r="A269" s="7"/>
      <c r="B269" s="7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 ht="14.25" customHeight="1">
      <c r="A270" s="7"/>
      <c r="B270" s="7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ht="14.25" customHeight="1">
      <c r="A271" s="7"/>
      <c r="B271" s="7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ht="14.25" customHeight="1">
      <c r="A272" s="7"/>
      <c r="B272" s="7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 ht="14.25" customHeight="1">
      <c r="A273" s="7"/>
      <c r="B273" s="7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ht="14.25" customHeight="1">
      <c r="A274" s="7"/>
      <c r="B274" s="7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ht="14.25" customHeight="1">
      <c r="A275" s="7"/>
      <c r="B275" s="7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ht="14.25" customHeight="1">
      <c r="A276" s="7"/>
      <c r="B276" s="7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ht="14.25" customHeight="1">
      <c r="A277" s="7"/>
      <c r="B277" s="7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ht="14.25" customHeight="1">
      <c r="A278" s="7"/>
      <c r="B278" s="7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ht="14.25" customHeight="1">
      <c r="A279" s="7"/>
      <c r="B279" s="7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ht="14.25" customHeight="1">
      <c r="A280" s="7"/>
      <c r="B280" s="7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ht="14.25" customHeight="1">
      <c r="A281" s="7"/>
      <c r="B281" s="7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ht="14.25" customHeight="1">
      <c r="A282" s="7"/>
      <c r="B282" s="7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ht="14.25" customHeight="1">
      <c r="A283" s="7"/>
      <c r="B283" s="7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ht="14.25" customHeight="1">
      <c r="A284" s="7"/>
      <c r="B284" s="7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ht="14.25" customHeight="1">
      <c r="A285" s="7"/>
      <c r="B285" s="7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ht="14.25" customHeight="1">
      <c r="A286" s="7"/>
      <c r="B286" s="7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ht="14.25" customHeight="1">
      <c r="A287" s="7"/>
      <c r="B287" s="7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 ht="14.25" customHeight="1">
      <c r="A288" s="7"/>
      <c r="B288" s="7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 ht="14.25" customHeight="1">
      <c r="A289" s="7"/>
      <c r="B289" s="7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 ht="14.25" customHeight="1">
      <c r="A290" s="7"/>
      <c r="B290" s="7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 ht="14.25" customHeight="1">
      <c r="A291" s="7"/>
      <c r="B291" s="7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 ht="14.25" customHeight="1">
      <c r="A292" s="7"/>
      <c r="B292" s="7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 ht="14.25" customHeight="1">
      <c r="A293" s="7"/>
      <c r="B293" s="7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 ht="14.25" customHeight="1">
      <c r="A294" s="7"/>
      <c r="B294" s="7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 ht="14.25" customHeight="1">
      <c r="A295" s="7"/>
      <c r="B295" s="7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 ht="14.25" customHeight="1">
      <c r="A296" s="7"/>
      <c r="B296" s="7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 ht="14.25" customHeight="1">
      <c r="A297" s="7"/>
      <c r="B297" s="7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 ht="14.25" customHeight="1">
      <c r="A298" s="7"/>
      <c r="B298" s="7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 ht="14.25" customHeight="1">
      <c r="A299" s="7"/>
      <c r="B299" s="7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 ht="14.25" customHeight="1">
      <c r="A300" s="7"/>
      <c r="B300" s="7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 ht="14.25" customHeight="1">
      <c r="A301" s="7"/>
      <c r="B301" s="7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 ht="14.25" customHeight="1">
      <c r="A302" s="7"/>
      <c r="B302" s="7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 ht="14.25" customHeight="1">
      <c r="A303" s="7"/>
      <c r="B303" s="7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 ht="14.25" customHeight="1">
      <c r="A304" s="7"/>
      <c r="B304" s="7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 ht="14.25" customHeight="1">
      <c r="A305" s="7"/>
      <c r="B305" s="7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 ht="14.25" customHeight="1">
      <c r="A306" s="7"/>
      <c r="B306" s="7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 ht="14.25" customHeight="1">
      <c r="A307" s="7"/>
      <c r="B307" s="7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 ht="14.25" customHeight="1">
      <c r="A308" s="7"/>
      <c r="B308" s="7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 ht="14.25" customHeight="1">
      <c r="A309" s="7"/>
      <c r="B309" s="7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 ht="14.25" customHeight="1">
      <c r="A310" s="7"/>
      <c r="B310" s="7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 ht="14.25" customHeight="1">
      <c r="A311" s="7"/>
      <c r="B311" s="7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 ht="14.25" customHeight="1">
      <c r="A312" s="7"/>
      <c r="B312" s="7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 ht="14.25" customHeight="1">
      <c r="A313" s="7"/>
      <c r="B313" s="7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 ht="14.25" customHeight="1">
      <c r="A314" s="7"/>
      <c r="B314" s="7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 ht="14.25" customHeight="1">
      <c r="A315" s="7"/>
      <c r="B315" s="7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 ht="14.25" customHeight="1">
      <c r="A316" s="7"/>
      <c r="B316" s="7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 ht="14.25" customHeight="1">
      <c r="A317" s="7"/>
      <c r="B317" s="7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 ht="14.25" customHeight="1">
      <c r="A318" s="7"/>
      <c r="B318" s="7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 ht="14.25" customHeight="1">
      <c r="A319" s="7"/>
      <c r="B319" s="7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 ht="14.25" customHeight="1">
      <c r="A320" s="7"/>
      <c r="B320" s="7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 ht="14.25" customHeight="1">
      <c r="A321" s="7"/>
      <c r="B321" s="7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 ht="14.25" customHeight="1">
      <c r="A322" s="7"/>
      <c r="B322" s="7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 ht="14.25" customHeight="1">
      <c r="A323" s="7"/>
      <c r="B323" s="7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 ht="14.25" customHeight="1">
      <c r="A324" s="7"/>
      <c r="B324" s="7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 ht="14.25" customHeight="1">
      <c r="A325" s="7"/>
      <c r="B325" s="7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 ht="14.25" customHeight="1">
      <c r="A326" s="7"/>
      <c r="B326" s="7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 ht="14.25" customHeight="1">
      <c r="A327" s="7"/>
      <c r="B327" s="7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 ht="14.25" customHeight="1">
      <c r="A328" s="7"/>
      <c r="B328" s="7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 ht="14.25" customHeight="1">
      <c r="A329" s="7"/>
      <c r="B329" s="7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 ht="14.25" customHeight="1">
      <c r="A330" s="7"/>
      <c r="B330" s="7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 ht="14.25" customHeight="1">
      <c r="A331" s="7"/>
      <c r="B331" s="7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 ht="14.25" customHeight="1">
      <c r="A332" s="7"/>
      <c r="B332" s="7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 ht="14.25" customHeight="1">
      <c r="A333" s="7"/>
      <c r="B333" s="7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 ht="14.25" customHeight="1">
      <c r="A334" s="7"/>
      <c r="B334" s="7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 ht="14.25" customHeight="1">
      <c r="A335" s="7"/>
      <c r="B335" s="7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 ht="14.25" customHeight="1">
      <c r="A336" s="7"/>
      <c r="B336" s="7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 ht="14.25" customHeight="1">
      <c r="A337" s="7"/>
      <c r="B337" s="7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 ht="14.25" customHeight="1">
      <c r="A338" s="7"/>
      <c r="B338" s="7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 ht="14.25" customHeight="1">
      <c r="A339" s="7"/>
      <c r="B339" s="7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 ht="14.25" customHeight="1">
      <c r="A340" s="7"/>
      <c r="B340" s="7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 ht="14.25" customHeight="1">
      <c r="A341" s="7"/>
      <c r="B341" s="7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 ht="14.25" customHeight="1">
      <c r="A342" s="7"/>
      <c r="B342" s="7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 ht="14.25" customHeight="1">
      <c r="A343" s="7"/>
      <c r="B343" s="7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 ht="14.25" customHeight="1">
      <c r="A344" s="7"/>
      <c r="B344" s="7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 ht="14.25" customHeight="1">
      <c r="A345" s="7"/>
      <c r="B345" s="7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 ht="14.25" customHeight="1">
      <c r="A346" s="7"/>
      <c r="B346" s="7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 ht="14.25" customHeight="1">
      <c r="A347" s="7"/>
      <c r="B347" s="7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 ht="14.25" customHeight="1">
      <c r="A348" s="7"/>
      <c r="B348" s="7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 ht="14.25" customHeight="1">
      <c r="A349" s="7"/>
      <c r="B349" s="7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 ht="14.25" customHeight="1">
      <c r="A350" s="7"/>
      <c r="B350" s="7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 ht="14.25" customHeight="1">
      <c r="A351" s="7"/>
      <c r="B351" s="7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 ht="14.25" customHeight="1">
      <c r="A352" s="7"/>
      <c r="B352" s="7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 ht="14.25" customHeight="1">
      <c r="A353" s="7"/>
      <c r="B353" s="7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 ht="14.25" customHeight="1">
      <c r="A354" s="7"/>
      <c r="B354" s="7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 ht="14.25" customHeight="1">
      <c r="A355" s="7"/>
      <c r="B355" s="7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 ht="14.25" customHeight="1">
      <c r="A356" s="7"/>
      <c r="B356" s="7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 ht="14.25" customHeight="1">
      <c r="A357" s="7"/>
      <c r="B357" s="7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 ht="14.25" customHeight="1">
      <c r="A358" s="7"/>
      <c r="B358" s="7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 ht="14.25" customHeight="1">
      <c r="A359" s="7"/>
      <c r="B359" s="7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 ht="14.25" customHeight="1">
      <c r="A360" s="7"/>
      <c r="B360" s="7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 ht="14.25" customHeight="1">
      <c r="A361" s="7"/>
      <c r="B361" s="7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 ht="14.25" customHeight="1">
      <c r="A362" s="7"/>
      <c r="B362" s="7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 ht="14.25" customHeight="1">
      <c r="A363" s="7"/>
      <c r="B363" s="7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 ht="14.25" customHeight="1">
      <c r="A364" s="7"/>
      <c r="B364" s="7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 ht="14.25" customHeight="1">
      <c r="A365" s="7"/>
      <c r="B365" s="7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 ht="14.25" customHeight="1">
      <c r="A366" s="7"/>
      <c r="B366" s="7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 ht="14.25" customHeight="1">
      <c r="A367" s="7"/>
      <c r="B367" s="7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 ht="14.25" customHeight="1">
      <c r="A368" s="7"/>
      <c r="B368" s="7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 ht="14.25" customHeight="1">
      <c r="A369" s="7"/>
      <c r="B369" s="7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 ht="14.25" customHeight="1">
      <c r="A370" s="7"/>
      <c r="B370" s="7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 ht="14.25" customHeight="1">
      <c r="A371" s="7"/>
      <c r="B371" s="7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 ht="14.25" customHeight="1">
      <c r="A372" s="7"/>
      <c r="B372" s="7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 ht="14.25" customHeight="1">
      <c r="A373" s="7"/>
      <c r="B373" s="7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 ht="14.25" customHeight="1">
      <c r="A374" s="7"/>
      <c r="B374" s="7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 ht="14.25" customHeight="1">
      <c r="A375" s="7"/>
      <c r="B375" s="7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 ht="14.25" customHeight="1">
      <c r="A376" s="7"/>
      <c r="B376" s="7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 ht="14.25" customHeight="1">
      <c r="A377" s="7"/>
      <c r="B377" s="7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 ht="14.25" customHeight="1">
      <c r="A378" s="7"/>
      <c r="B378" s="7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 ht="14.25" customHeight="1">
      <c r="A379" s="7"/>
      <c r="B379" s="7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 ht="14.25" customHeight="1">
      <c r="A380" s="7"/>
      <c r="B380" s="7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 ht="14.25" customHeight="1">
      <c r="A381" s="7"/>
      <c r="B381" s="7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 ht="14.25" customHeight="1">
      <c r="A382" s="7"/>
      <c r="B382" s="7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 ht="14.25" customHeight="1">
      <c r="A383" s="7"/>
      <c r="B383" s="7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 ht="14.25" customHeight="1">
      <c r="A384" s="7"/>
      <c r="B384" s="7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 ht="14.25" customHeight="1">
      <c r="A385" s="7"/>
      <c r="B385" s="7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 ht="14.25" customHeight="1">
      <c r="A386" s="7"/>
      <c r="B386" s="7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 ht="14.25" customHeight="1">
      <c r="A387" s="7"/>
      <c r="B387" s="7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 ht="14.25" customHeight="1">
      <c r="A388" s="7"/>
      <c r="B388" s="7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 ht="14.25" customHeight="1">
      <c r="A389" s="7"/>
      <c r="B389" s="7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 ht="14.25" customHeight="1">
      <c r="A390" s="7"/>
      <c r="B390" s="7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 ht="14.25" customHeight="1">
      <c r="A391" s="7"/>
      <c r="B391" s="7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 ht="14.25" customHeight="1">
      <c r="A392" s="7"/>
      <c r="B392" s="7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 ht="14.25" customHeight="1">
      <c r="A393" s="7"/>
      <c r="B393" s="7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 ht="14.25" customHeight="1">
      <c r="A394" s="7"/>
      <c r="B394" s="7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 ht="14.25" customHeight="1">
      <c r="A395" s="7"/>
      <c r="B395" s="7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 ht="14.25" customHeight="1">
      <c r="A396" s="7"/>
      <c r="B396" s="7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 ht="14.25" customHeight="1">
      <c r="A397" s="7"/>
      <c r="B397" s="7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 ht="14.25" customHeight="1">
      <c r="A398" s="7"/>
      <c r="B398" s="7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 ht="14.25" customHeight="1">
      <c r="A399" s="7"/>
      <c r="B399" s="7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 ht="14.25" customHeight="1">
      <c r="A400" s="7"/>
      <c r="B400" s="7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 ht="14.25" customHeight="1">
      <c r="A401" s="7"/>
      <c r="B401" s="7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 ht="14.25" customHeight="1">
      <c r="A402" s="7"/>
      <c r="B402" s="7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 ht="14.25" customHeight="1">
      <c r="A403" s="7"/>
      <c r="B403" s="7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 ht="14.25" customHeight="1">
      <c r="A404" s="7"/>
      <c r="B404" s="7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 ht="14.25" customHeight="1">
      <c r="A405" s="7"/>
      <c r="B405" s="7"/>
      <c r="C405" s="47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 ht="14.25" customHeight="1">
      <c r="A406" s="7"/>
      <c r="B406" s="7"/>
      <c r="C406" s="47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 ht="14.25" customHeight="1">
      <c r="A407" s="7"/>
      <c r="B407" s="7"/>
      <c r="C407" s="47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 ht="14.25" customHeight="1">
      <c r="A408" s="7"/>
      <c r="B408" s="7"/>
      <c r="C408" s="47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 ht="14.25" customHeight="1">
      <c r="A409" s="7"/>
      <c r="B409" s="7"/>
      <c r="C409" s="47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 ht="14.25" customHeight="1">
      <c r="A410" s="7"/>
      <c r="B410" s="7"/>
      <c r="C410" s="47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 ht="14.25" customHeight="1">
      <c r="A411" s="7"/>
      <c r="B411" s="7"/>
      <c r="C411" s="47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 ht="14.25" customHeight="1">
      <c r="A412" s="7"/>
      <c r="B412" s="7"/>
      <c r="C412" s="47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 ht="14.25" customHeight="1">
      <c r="A413" s="7"/>
      <c r="B413" s="7"/>
      <c r="C413" s="47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 ht="14.25" customHeight="1">
      <c r="A414" s="7"/>
      <c r="B414" s="7"/>
      <c r="C414" s="47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 ht="14.25" customHeight="1">
      <c r="A415" s="7"/>
      <c r="B415" s="7"/>
      <c r="C415" s="47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 ht="14.25" customHeight="1">
      <c r="A416" s="7"/>
      <c r="B416" s="7"/>
      <c r="C416" s="47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 ht="14.25" customHeight="1">
      <c r="A417" s="7"/>
      <c r="B417" s="7"/>
      <c r="C417" s="47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 ht="14.25" customHeight="1">
      <c r="A418" s="7"/>
      <c r="B418" s="7"/>
      <c r="C418" s="47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 ht="14.25" customHeight="1">
      <c r="A419" s="7"/>
      <c r="B419" s="7"/>
      <c r="C419" s="47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 ht="14.25" customHeight="1">
      <c r="A420" s="7"/>
      <c r="B420" s="7"/>
      <c r="C420" s="47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 ht="14.25" customHeight="1">
      <c r="A421" s="7"/>
      <c r="B421" s="7"/>
      <c r="C421" s="47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 ht="14.25" customHeight="1">
      <c r="A422" s="7"/>
      <c r="B422" s="7"/>
      <c r="C422" s="47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 ht="14.25" customHeight="1">
      <c r="A423" s="7"/>
      <c r="B423" s="7"/>
      <c r="C423" s="47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 ht="14.25" customHeight="1">
      <c r="A424" s="7"/>
      <c r="B424" s="7"/>
      <c r="C424" s="47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 ht="14.25" customHeight="1">
      <c r="A425" s="7"/>
      <c r="B425" s="7"/>
      <c r="C425" s="47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 ht="14.25" customHeight="1">
      <c r="A426" s="7"/>
      <c r="B426" s="7"/>
      <c r="C426" s="47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 ht="14.25" customHeight="1">
      <c r="A427" s="7"/>
      <c r="B427" s="7"/>
      <c r="C427" s="47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 ht="14.25" customHeight="1">
      <c r="A428" s="7"/>
      <c r="B428" s="7"/>
      <c r="C428" s="47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 ht="14.25" customHeight="1">
      <c r="A429" s="7"/>
      <c r="B429" s="7"/>
      <c r="C429" s="47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 ht="14.25" customHeight="1">
      <c r="A430" s="7"/>
      <c r="B430" s="7"/>
      <c r="C430" s="47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 ht="14.25" customHeight="1">
      <c r="A431" s="7"/>
      <c r="B431" s="7"/>
      <c r="C431" s="47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 ht="14.25" customHeight="1">
      <c r="A432" s="7"/>
      <c r="B432" s="7"/>
      <c r="C432" s="47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 ht="14.25" customHeight="1">
      <c r="A433" s="7"/>
      <c r="B433" s="7"/>
      <c r="C433" s="47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 ht="14.25" customHeight="1">
      <c r="A434" s="7"/>
      <c r="B434" s="7"/>
      <c r="C434" s="47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 ht="14.25" customHeight="1">
      <c r="A435" s="7"/>
      <c r="B435" s="7"/>
      <c r="C435" s="47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 ht="14.25" customHeight="1">
      <c r="A436" s="7"/>
      <c r="B436" s="7"/>
      <c r="C436" s="47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 ht="14.25" customHeight="1">
      <c r="A437" s="7"/>
      <c r="B437" s="7"/>
      <c r="C437" s="47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 ht="14.25" customHeight="1">
      <c r="A438" s="7"/>
      <c r="B438" s="7"/>
      <c r="C438" s="47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 ht="14.25" customHeight="1">
      <c r="A439" s="7"/>
      <c r="B439" s="7"/>
      <c r="C439" s="47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 ht="14.25" customHeight="1">
      <c r="A440" s="7"/>
      <c r="B440" s="7"/>
      <c r="C440" s="47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 ht="14.25" customHeight="1">
      <c r="A441" s="7"/>
      <c r="B441" s="7"/>
      <c r="C441" s="47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 ht="14.25" customHeight="1">
      <c r="A442" s="7"/>
      <c r="B442" s="7"/>
      <c r="C442" s="47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 ht="14.25" customHeight="1">
      <c r="A443" s="7"/>
      <c r="B443" s="7"/>
      <c r="C443" s="47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 ht="14.25" customHeight="1">
      <c r="A444" s="7"/>
      <c r="B444" s="7"/>
      <c r="C444" s="47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 ht="14.25" customHeight="1">
      <c r="A445" s="7"/>
      <c r="B445" s="7"/>
      <c r="C445" s="47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 ht="14.25" customHeight="1">
      <c r="A446" s="7"/>
      <c r="B446" s="7"/>
      <c r="C446" s="47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 ht="14.25" customHeight="1">
      <c r="A447" s="7"/>
      <c r="B447" s="7"/>
      <c r="C447" s="47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 ht="14.25" customHeight="1">
      <c r="A448" s="7"/>
      <c r="B448" s="7"/>
      <c r="C448" s="47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 ht="14.25" customHeight="1">
      <c r="A449" s="7"/>
      <c r="B449" s="7"/>
      <c r="C449" s="47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 ht="14.25" customHeight="1">
      <c r="A450" s="7"/>
      <c r="B450" s="7"/>
      <c r="C450" s="47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 ht="14.25" customHeight="1">
      <c r="A451" s="7"/>
      <c r="B451" s="7"/>
      <c r="C451" s="47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 ht="14.25" customHeight="1">
      <c r="A452" s="7"/>
      <c r="B452" s="7"/>
      <c r="C452" s="47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 ht="14.25" customHeight="1">
      <c r="A453" s="7"/>
      <c r="B453" s="7"/>
      <c r="C453" s="47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 ht="14.25" customHeight="1">
      <c r="A454" s="7"/>
      <c r="B454" s="7"/>
      <c r="C454" s="47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 ht="14.25" customHeight="1">
      <c r="A455" s="7"/>
      <c r="B455" s="7"/>
      <c r="C455" s="47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 ht="14.25" customHeight="1">
      <c r="A456" s="7"/>
      <c r="B456" s="7"/>
      <c r="C456" s="47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 ht="14.25" customHeight="1">
      <c r="A457" s="7"/>
      <c r="B457" s="7"/>
      <c r="C457" s="47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 ht="14.25" customHeight="1">
      <c r="A458" s="7"/>
      <c r="B458" s="7"/>
      <c r="C458" s="47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 ht="14.25" customHeight="1">
      <c r="A459" s="7"/>
      <c r="B459" s="7"/>
      <c r="C459" s="47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 ht="14.25" customHeight="1">
      <c r="A460" s="7"/>
      <c r="B460" s="7"/>
      <c r="C460" s="47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 ht="14.25" customHeight="1">
      <c r="A461" s="7"/>
      <c r="B461" s="7"/>
      <c r="C461" s="47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 ht="14.25" customHeight="1">
      <c r="A462" s="7"/>
      <c r="B462" s="7"/>
      <c r="C462" s="47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 ht="14.25" customHeight="1">
      <c r="A463" s="7"/>
      <c r="B463" s="7"/>
      <c r="C463" s="47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 ht="14.25" customHeight="1">
      <c r="A464" s="7"/>
      <c r="B464" s="7"/>
      <c r="C464" s="47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 ht="14.25" customHeight="1">
      <c r="A465" s="7"/>
      <c r="B465" s="7"/>
      <c r="C465" s="47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 ht="14.25" customHeight="1">
      <c r="A466" s="7"/>
      <c r="B466" s="7"/>
      <c r="C466" s="47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 ht="14.25" customHeight="1">
      <c r="A467" s="7"/>
      <c r="B467" s="7"/>
      <c r="C467" s="47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 ht="14.25" customHeight="1">
      <c r="A468" s="7"/>
      <c r="B468" s="7"/>
      <c r="C468" s="47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 ht="14.25" customHeight="1">
      <c r="A469" s="7"/>
      <c r="B469" s="7"/>
      <c r="C469" s="47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 ht="14.25" customHeight="1">
      <c r="A470" s="7"/>
      <c r="B470" s="7"/>
      <c r="C470" s="47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 ht="14.25" customHeight="1">
      <c r="A471" s="7"/>
      <c r="B471" s="7"/>
      <c r="C471" s="47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 ht="14.25" customHeight="1">
      <c r="A472" s="7"/>
      <c r="B472" s="7"/>
      <c r="C472" s="47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 ht="14.25" customHeight="1">
      <c r="A473" s="7"/>
      <c r="B473" s="7"/>
      <c r="C473" s="47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 ht="14.25" customHeight="1">
      <c r="A474" s="7"/>
      <c r="B474" s="7"/>
      <c r="C474" s="47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 ht="14.25" customHeight="1">
      <c r="A475" s="7"/>
      <c r="B475" s="7"/>
      <c r="C475" s="47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 ht="14.25" customHeight="1">
      <c r="A476" s="7"/>
      <c r="B476" s="7"/>
      <c r="C476" s="47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 ht="14.25" customHeight="1">
      <c r="A477" s="7"/>
      <c r="B477" s="7"/>
      <c r="C477" s="47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 ht="14.25" customHeight="1">
      <c r="A478" s="7"/>
      <c r="B478" s="7"/>
      <c r="C478" s="47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 ht="14.25" customHeight="1">
      <c r="A479" s="7"/>
      <c r="B479" s="7"/>
      <c r="C479" s="47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 ht="14.25" customHeight="1">
      <c r="A480" s="7"/>
      <c r="B480" s="7"/>
      <c r="C480" s="47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 ht="14.25" customHeight="1">
      <c r="A481" s="7"/>
      <c r="B481" s="7"/>
      <c r="C481" s="47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 ht="14.25" customHeight="1">
      <c r="A482" s="7"/>
      <c r="B482" s="7"/>
      <c r="C482" s="47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 ht="14.25" customHeight="1">
      <c r="A483" s="7"/>
      <c r="B483" s="7"/>
      <c r="C483" s="47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 ht="14.25" customHeight="1">
      <c r="A484" s="7"/>
      <c r="B484" s="7"/>
      <c r="C484" s="47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 ht="14.25" customHeight="1">
      <c r="A485" s="7"/>
      <c r="B485" s="7"/>
      <c r="C485" s="47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 ht="14.25" customHeight="1">
      <c r="A486" s="7"/>
      <c r="B486" s="7"/>
      <c r="C486" s="47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 ht="14.25" customHeight="1">
      <c r="A487" s="7"/>
      <c r="B487" s="7"/>
      <c r="C487" s="47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 ht="14.25" customHeight="1">
      <c r="A488" s="7"/>
      <c r="B488" s="7"/>
      <c r="C488" s="47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 ht="14.25" customHeight="1">
      <c r="A489" s="7"/>
      <c r="B489" s="7"/>
      <c r="C489" s="47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 ht="14.25" customHeight="1">
      <c r="A490" s="7"/>
      <c r="B490" s="7"/>
      <c r="C490" s="47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 ht="14.25" customHeight="1">
      <c r="A491" s="7"/>
      <c r="B491" s="7"/>
      <c r="C491" s="47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 ht="14.25" customHeight="1">
      <c r="A492" s="7"/>
      <c r="B492" s="7"/>
      <c r="C492" s="47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 ht="14.25" customHeight="1">
      <c r="A493" s="7"/>
      <c r="B493" s="7"/>
      <c r="C493" s="47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 ht="14.25" customHeight="1">
      <c r="A494" s="7"/>
      <c r="B494" s="7"/>
      <c r="C494" s="47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 ht="14.25" customHeight="1">
      <c r="A495" s="7"/>
      <c r="B495" s="7"/>
      <c r="C495" s="47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 ht="14.25" customHeight="1">
      <c r="A496" s="7"/>
      <c r="B496" s="7"/>
      <c r="C496" s="47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 ht="14.25" customHeight="1">
      <c r="A497" s="7"/>
      <c r="B497" s="7"/>
      <c r="C497" s="47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 ht="14.25" customHeight="1">
      <c r="A498" s="7"/>
      <c r="B498" s="7"/>
      <c r="C498" s="47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 ht="14.25" customHeight="1">
      <c r="A499" s="7"/>
      <c r="B499" s="7"/>
      <c r="C499" s="47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 ht="14.25" customHeight="1">
      <c r="A500" s="7"/>
      <c r="B500" s="7"/>
      <c r="C500" s="47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 ht="14.25" customHeight="1">
      <c r="A501" s="7"/>
      <c r="B501" s="7"/>
      <c r="C501" s="47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 ht="14.25" customHeight="1">
      <c r="A502" s="7"/>
      <c r="B502" s="7"/>
      <c r="C502" s="47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 ht="14.25" customHeight="1">
      <c r="A503" s="7"/>
      <c r="B503" s="7"/>
      <c r="C503" s="47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 ht="14.25" customHeight="1">
      <c r="A504" s="7"/>
      <c r="B504" s="7"/>
      <c r="C504" s="47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 ht="14.25" customHeight="1">
      <c r="A505" s="7"/>
      <c r="B505" s="7"/>
      <c r="C505" s="47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 ht="14.25" customHeight="1">
      <c r="A506" s="7"/>
      <c r="B506" s="7"/>
      <c r="C506" s="47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 ht="14.25" customHeight="1">
      <c r="A507" s="7"/>
      <c r="B507" s="7"/>
      <c r="C507" s="47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 ht="14.25" customHeight="1">
      <c r="A508" s="7"/>
      <c r="B508" s="7"/>
      <c r="C508" s="47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 ht="14.25" customHeight="1">
      <c r="A509" s="7"/>
      <c r="B509" s="7"/>
      <c r="C509" s="47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 ht="14.25" customHeight="1">
      <c r="A510" s="7"/>
      <c r="B510" s="7"/>
      <c r="C510" s="47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 ht="14.25" customHeight="1">
      <c r="A511" s="7"/>
      <c r="B511" s="7"/>
      <c r="C511" s="47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 ht="14.25" customHeight="1">
      <c r="A512" s="7"/>
      <c r="B512" s="7"/>
      <c r="C512" s="47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 ht="14.25" customHeight="1">
      <c r="A513" s="7"/>
      <c r="B513" s="7"/>
      <c r="C513" s="47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 ht="14.25" customHeight="1">
      <c r="A514" s="7"/>
      <c r="B514" s="7"/>
      <c r="C514" s="47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 ht="14.25" customHeight="1">
      <c r="A515" s="7"/>
      <c r="B515" s="7"/>
      <c r="C515" s="47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 ht="14.25" customHeight="1">
      <c r="A516" s="7"/>
      <c r="B516" s="7"/>
      <c r="C516" s="47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 ht="14.25" customHeight="1">
      <c r="A517" s="7"/>
      <c r="B517" s="7"/>
      <c r="C517" s="47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 ht="14.25" customHeight="1">
      <c r="A518" s="7"/>
      <c r="B518" s="7"/>
      <c r="C518" s="47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 ht="14.25" customHeight="1">
      <c r="A519" s="7"/>
      <c r="B519" s="7"/>
      <c r="C519" s="47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 ht="14.25" customHeight="1">
      <c r="A520" s="7"/>
      <c r="B520" s="7"/>
      <c r="C520" s="47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 ht="14.25" customHeight="1">
      <c r="A521" s="7"/>
      <c r="B521" s="7"/>
      <c r="C521" s="47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 ht="14.25" customHeight="1">
      <c r="A522" s="7"/>
      <c r="B522" s="7"/>
      <c r="C522" s="47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 ht="14.25" customHeight="1">
      <c r="A523" s="7"/>
      <c r="B523" s="7"/>
      <c r="C523" s="47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 ht="14.25" customHeight="1">
      <c r="A524" s="7"/>
      <c r="B524" s="7"/>
      <c r="C524" s="47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 ht="14.25" customHeight="1">
      <c r="A525" s="7"/>
      <c r="B525" s="7"/>
      <c r="C525" s="47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 ht="14.25" customHeight="1">
      <c r="A526" s="7"/>
      <c r="B526" s="7"/>
      <c r="C526" s="47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 ht="14.25" customHeight="1">
      <c r="A527" s="7"/>
      <c r="B527" s="7"/>
      <c r="C527" s="47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 ht="14.25" customHeight="1">
      <c r="A528" s="7"/>
      <c r="B528" s="7"/>
      <c r="C528" s="47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 ht="14.25" customHeight="1">
      <c r="A529" s="7"/>
      <c r="B529" s="7"/>
      <c r="C529" s="47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 ht="14.25" customHeight="1">
      <c r="A530" s="7"/>
      <c r="B530" s="7"/>
      <c r="C530" s="47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 ht="14.25" customHeight="1">
      <c r="A531" s="7"/>
      <c r="B531" s="7"/>
      <c r="C531" s="47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 ht="14.25" customHeight="1">
      <c r="A532" s="7"/>
      <c r="B532" s="7"/>
      <c r="C532" s="47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 ht="14.25" customHeight="1">
      <c r="A533" s="7"/>
      <c r="B533" s="7"/>
      <c r="C533" s="47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 ht="14.25" customHeight="1">
      <c r="A534" s="7"/>
      <c r="B534" s="7"/>
      <c r="C534" s="47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 ht="14.25" customHeight="1">
      <c r="A535" s="7"/>
      <c r="B535" s="7"/>
      <c r="C535" s="47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 ht="14.25" customHeight="1">
      <c r="A536" s="7"/>
      <c r="B536" s="7"/>
      <c r="C536" s="47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 ht="14.25" customHeight="1">
      <c r="A537" s="7"/>
      <c r="B537" s="7"/>
      <c r="C537" s="47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 ht="14.25" customHeight="1">
      <c r="A538" s="7"/>
      <c r="B538" s="7"/>
      <c r="C538" s="47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 ht="14.25" customHeight="1">
      <c r="A539" s="7"/>
      <c r="B539" s="7"/>
      <c r="C539" s="47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 ht="14.25" customHeight="1">
      <c r="A540" s="7"/>
      <c r="B540" s="7"/>
      <c r="C540" s="47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 ht="14.25" customHeight="1">
      <c r="A541" s="7"/>
      <c r="B541" s="7"/>
      <c r="C541" s="47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 ht="14.25" customHeight="1">
      <c r="A542" s="7"/>
      <c r="B542" s="7"/>
      <c r="C542" s="47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 ht="14.25" customHeight="1">
      <c r="A543" s="7"/>
      <c r="B543" s="7"/>
      <c r="C543" s="47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 ht="14.25" customHeight="1">
      <c r="A544" s="7"/>
      <c r="B544" s="7"/>
      <c r="C544" s="47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 ht="14.25" customHeight="1">
      <c r="A545" s="7"/>
      <c r="B545" s="7"/>
      <c r="C545" s="47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 ht="14.25" customHeight="1">
      <c r="A546" s="7"/>
      <c r="B546" s="7"/>
      <c r="C546" s="47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 ht="14.25" customHeight="1">
      <c r="A547" s="7"/>
      <c r="B547" s="7"/>
      <c r="C547" s="47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 ht="14.25" customHeight="1">
      <c r="A548" s="7"/>
      <c r="B548" s="7"/>
      <c r="C548" s="47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 ht="14.25" customHeight="1">
      <c r="A549" s="7"/>
      <c r="B549" s="7"/>
      <c r="C549" s="47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 ht="14.25" customHeight="1">
      <c r="A550" s="7"/>
      <c r="B550" s="7"/>
      <c r="C550" s="47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 ht="14.25" customHeight="1">
      <c r="A551" s="7"/>
      <c r="B551" s="7"/>
      <c r="C551" s="47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 ht="14.25" customHeight="1">
      <c r="A552" s="7"/>
      <c r="B552" s="7"/>
      <c r="C552" s="47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 ht="14.25" customHeight="1">
      <c r="A553" s="7"/>
      <c r="B553" s="7"/>
      <c r="C553" s="47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 ht="14.25" customHeight="1">
      <c r="A554" s="7"/>
      <c r="B554" s="7"/>
      <c r="C554" s="47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 ht="14.25" customHeight="1">
      <c r="A555" s="7"/>
      <c r="B555" s="7"/>
      <c r="C555" s="47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 ht="14.25" customHeight="1">
      <c r="A556" s="7"/>
      <c r="B556" s="7"/>
      <c r="C556" s="47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 ht="14.25" customHeight="1">
      <c r="A557" s="7"/>
      <c r="B557" s="7"/>
      <c r="C557" s="47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 ht="14.25" customHeight="1">
      <c r="A558" s="7"/>
      <c r="B558" s="7"/>
      <c r="C558" s="47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 ht="14.25" customHeight="1">
      <c r="A559" s="7"/>
      <c r="B559" s="7"/>
      <c r="C559" s="47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 ht="14.25" customHeight="1">
      <c r="A560" s="7"/>
      <c r="B560" s="7"/>
      <c r="C560" s="47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 ht="14.25" customHeight="1">
      <c r="A561" s="7"/>
      <c r="B561" s="7"/>
      <c r="C561" s="47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 ht="14.25" customHeight="1">
      <c r="A562" s="7"/>
      <c r="B562" s="7"/>
      <c r="C562" s="47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 ht="14.25" customHeight="1">
      <c r="A563" s="7"/>
      <c r="B563" s="7"/>
      <c r="C563" s="47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 ht="14.25" customHeight="1">
      <c r="A564" s="7"/>
      <c r="B564" s="7"/>
      <c r="C564" s="47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 ht="14.25" customHeight="1">
      <c r="A565" s="7"/>
      <c r="B565" s="7"/>
      <c r="C565" s="47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 ht="14.25" customHeight="1">
      <c r="A566" s="7"/>
      <c r="B566" s="7"/>
      <c r="C566" s="47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 ht="14.25" customHeight="1">
      <c r="A567" s="7"/>
      <c r="B567" s="7"/>
      <c r="C567" s="47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 ht="14.25" customHeight="1">
      <c r="A568" s="7"/>
      <c r="B568" s="7"/>
      <c r="C568" s="47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 ht="14.25" customHeight="1">
      <c r="A569" s="7"/>
      <c r="B569" s="7"/>
      <c r="C569" s="47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 ht="14.25" customHeight="1">
      <c r="A570" s="7"/>
      <c r="B570" s="7"/>
      <c r="C570" s="47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 ht="14.25" customHeight="1">
      <c r="A571" s="7"/>
      <c r="B571" s="7"/>
      <c r="C571" s="47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 ht="14.25" customHeight="1">
      <c r="A572" s="7"/>
      <c r="B572" s="7"/>
      <c r="C572" s="47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 ht="14.25" customHeight="1">
      <c r="A573" s="7"/>
      <c r="B573" s="7"/>
      <c r="C573" s="47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 ht="14.25" customHeight="1">
      <c r="A574" s="7"/>
      <c r="B574" s="7"/>
      <c r="C574" s="47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 ht="14.25" customHeight="1">
      <c r="A575" s="7"/>
      <c r="B575" s="7"/>
      <c r="C575" s="47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 ht="14.25" customHeight="1">
      <c r="A576" s="7"/>
      <c r="B576" s="7"/>
      <c r="C576" s="47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 ht="14.25" customHeight="1">
      <c r="A577" s="7"/>
      <c r="B577" s="7"/>
      <c r="C577" s="47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 ht="14.25" customHeight="1">
      <c r="A578" s="7"/>
      <c r="B578" s="7"/>
      <c r="C578" s="47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 ht="14.25" customHeight="1">
      <c r="A579" s="7"/>
      <c r="B579" s="7"/>
      <c r="C579" s="47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 ht="14.25" customHeight="1">
      <c r="A580" s="7"/>
      <c r="B580" s="7"/>
      <c r="C580" s="47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 ht="14.25" customHeight="1">
      <c r="A581" s="7"/>
      <c r="B581" s="7"/>
      <c r="C581" s="47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 ht="14.25" customHeight="1">
      <c r="A582" s="7"/>
      <c r="B582" s="7"/>
      <c r="C582" s="47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 ht="14.25" customHeight="1">
      <c r="A583" s="7"/>
      <c r="B583" s="7"/>
      <c r="C583" s="47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 ht="14.25" customHeight="1">
      <c r="A584" s="7"/>
      <c r="B584" s="7"/>
      <c r="C584" s="47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 ht="14.25" customHeight="1">
      <c r="A585" s="7"/>
      <c r="B585" s="7"/>
      <c r="C585" s="47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 ht="14.25" customHeight="1">
      <c r="A586" s="7"/>
      <c r="B586" s="7"/>
      <c r="C586" s="47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 ht="14.25" customHeight="1">
      <c r="A587" s="7"/>
      <c r="B587" s="7"/>
      <c r="C587" s="47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 ht="14.25" customHeight="1">
      <c r="A588" s="7"/>
      <c r="B588" s="7"/>
      <c r="C588" s="47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 ht="14.25" customHeight="1">
      <c r="A589" s="7"/>
      <c r="B589" s="7"/>
      <c r="C589" s="47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 ht="14.25" customHeight="1">
      <c r="A590" s="7"/>
      <c r="B590" s="7"/>
      <c r="C590" s="47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 ht="14.25" customHeight="1">
      <c r="A591" s="7"/>
      <c r="B591" s="7"/>
      <c r="C591" s="47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 ht="14.25" customHeight="1">
      <c r="A592" s="7"/>
      <c r="B592" s="7"/>
      <c r="C592" s="47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 ht="14.25" customHeight="1">
      <c r="A593" s="7"/>
      <c r="B593" s="7"/>
      <c r="C593" s="47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 ht="14.25" customHeight="1">
      <c r="A594" s="7"/>
      <c r="B594" s="7"/>
      <c r="C594" s="47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 ht="14.25" customHeight="1">
      <c r="A595" s="7"/>
      <c r="B595" s="7"/>
      <c r="C595" s="47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 ht="14.25" customHeight="1">
      <c r="A596" s="7"/>
      <c r="B596" s="7"/>
      <c r="C596" s="47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 ht="14.25" customHeight="1">
      <c r="A597" s="7"/>
      <c r="B597" s="7"/>
      <c r="C597" s="47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 ht="14.25" customHeight="1">
      <c r="A598" s="7"/>
      <c r="B598" s="7"/>
      <c r="C598" s="47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 ht="14.25" customHeight="1">
      <c r="A599" s="7"/>
      <c r="B599" s="7"/>
      <c r="C599" s="47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 ht="14.25" customHeight="1">
      <c r="A600" s="7"/>
      <c r="B600" s="7"/>
      <c r="C600" s="47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 ht="14.25" customHeight="1">
      <c r="A601" s="7"/>
      <c r="B601" s="7"/>
      <c r="C601" s="47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 ht="14.25" customHeight="1">
      <c r="A602" s="7"/>
      <c r="B602" s="7"/>
      <c r="C602" s="47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 ht="14.25" customHeight="1">
      <c r="A603" s="7"/>
      <c r="B603" s="7"/>
      <c r="C603" s="47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 ht="14.25" customHeight="1">
      <c r="A604" s="7"/>
      <c r="B604" s="7"/>
      <c r="C604" s="47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 ht="14.25" customHeight="1">
      <c r="A605" s="7"/>
      <c r="B605" s="7"/>
      <c r="C605" s="47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 ht="14.25" customHeight="1">
      <c r="A606" s="7"/>
      <c r="B606" s="7"/>
      <c r="C606" s="47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 ht="14.25" customHeight="1">
      <c r="A607" s="7"/>
      <c r="B607" s="7"/>
      <c r="C607" s="47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 ht="14.25" customHeight="1">
      <c r="A608" s="7"/>
      <c r="B608" s="7"/>
      <c r="C608" s="47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 ht="14.25" customHeight="1">
      <c r="A609" s="7"/>
      <c r="B609" s="7"/>
      <c r="C609" s="47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 ht="14.25" customHeight="1">
      <c r="A610" s="7"/>
      <c r="B610" s="7"/>
      <c r="C610" s="47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 ht="14.25" customHeight="1">
      <c r="A611" s="7"/>
      <c r="B611" s="7"/>
      <c r="C611" s="47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 ht="14.25" customHeight="1">
      <c r="A612" s="7"/>
      <c r="B612" s="7"/>
      <c r="C612" s="47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 ht="14.25" customHeight="1">
      <c r="A613" s="7"/>
      <c r="B613" s="7"/>
      <c r="C613" s="47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 ht="14.25" customHeight="1">
      <c r="A614" s="7"/>
      <c r="B614" s="7"/>
      <c r="C614" s="47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 ht="14.25" customHeight="1">
      <c r="A615" s="7"/>
      <c r="B615" s="7"/>
      <c r="C615" s="47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 ht="14.25" customHeight="1">
      <c r="A616" s="7"/>
      <c r="B616" s="7"/>
      <c r="C616" s="47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 ht="14.25" customHeight="1">
      <c r="A617" s="7"/>
      <c r="B617" s="7"/>
      <c r="C617" s="47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 ht="14.25" customHeight="1">
      <c r="A618" s="7"/>
      <c r="B618" s="7"/>
      <c r="C618" s="47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</row>
    <row r="619" ht="14.25" customHeight="1">
      <c r="A619" s="7"/>
      <c r="B619" s="7"/>
      <c r="C619" s="47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</row>
    <row r="620" ht="14.25" customHeight="1">
      <c r="A620" s="7"/>
      <c r="B620" s="7"/>
      <c r="C620" s="47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</row>
    <row r="621" ht="14.25" customHeight="1">
      <c r="A621" s="7"/>
      <c r="B621" s="7"/>
      <c r="C621" s="47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</row>
    <row r="622" ht="14.25" customHeight="1">
      <c r="A622" s="7"/>
      <c r="B622" s="7"/>
      <c r="C622" s="47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</row>
    <row r="623" ht="14.25" customHeight="1">
      <c r="A623" s="7"/>
      <c r="B623" s="7"/>
      <c r="C623" s="47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</row>
    <row r="624" ht="14.25" customHeight="1">
      <c r="A624" s="7"/>
      <c r="B624" s="7"/>
      <c r="C624" s="47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</row>
    <row r="625" ht="14.25" customHeight="1">
      <c r="A625" s="7"/>
      <c r="B625" s="7"/>
      <c r="C625" s="47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</row>
    <row r="626" ht="14.25" customHeight="1">
      <c r="A626" s="7"/>
      <c r="B626" s="7"/>
      <c r="C626" s="47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</row>
    <row r="627" ht="14.25" customHeight="1">
      <c r="A627" s="7"/>
      <c r="B627" s="7"/>
      <c r="C627" s="47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</row>
    <row r="628" ht="14.25" customHeight="1">
      <c r="A628" s="7"/>
      <c r="B628" s="7"/>
      <c r="C628" s="47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</row>
    <row r="629" ht="14.25" customHeight="1">
      <c r="A629" s="7"/>
      <c r="B629" s="7"/>
      <c r="C629" s="47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</row>
    <row r="630" ht="14.25" customHeight="1">
      <c r="A630" s="7"/>
      <c r="B630" s="7"/>
      <c r="C630" s="47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</row>
    <row r="631" ht="14.25" customHeight="1">
      <c r="A631" s="7"/>
      <c r="B631" s="7"/>
      <c r="C631" s="47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</row>
    <row r="632" ht="14.25" customHeight="1">
      <c r="A632" s="7"/>
      <c r="B632" s="7"/>
      <c r="C632" s="47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</row>
    <row r="633" ht="14.25" customHeight="1">
      <c r="A633" s="7"/>
      <c r="B633" s="7"/>
      <c r="C633" s="47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</row>
    <row r="634" ht="14.25" customHeight="1">
      <c r="A634" s="7"/>
      <c r="B634" s="7"/>
      <c r="C634" s="47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</row>
    <row r="635" ht="14.25" customHeight="1">
      <c r="A635" s="7"/>
      <c r="B635" s="7"/>
      <c r="C635" s="47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</row>
    <row r="636" ht="14.25" customHeight="1">
      <c r="A636" s="7"/>
      <c r="B636" s="7"/>
      <c r="C636" s="47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</row>
    <row r="637" ht="14.25" customHeight="1">
      <c r="A637" s="7"/>
      <c r="B637" s="7"/>
      <c r="C637" s="47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</row>
    <row r="638" ht="14.25" customHeight="1">
      <c r="A638" s="7"/>
      <c r="B638" s="7"/>
      <c r="C638" s="47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</row>
    <row r="639" ht="14.25" customHeight="1">
      <c r="A639" s="7"/>
      <c r="B639" s="7"/>
      <c r="C639" s="47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</row>
    <row r="640" ht="14.25" customHeight="1">
      <c r="A640" s="7"/>
      <c r="B640" s="7"/>
      <c r="C640" s="47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</row>
    <row r="641" ht="14.25" customHeight="1">
      <c r="A641" s="7"/>
      <c r="B641" s="7"/>
      <c r="C641" s="47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</row>
    <row r="642" ht="14.25" customHeight="1">
      <c r="A642" s="7"/>
      <c r="B642" s="7"/>
      <c r="C642" s="47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</row>
    <row r="643" ht="14.25" customHeight="1">
      <c r="A643" s="7"/>
      <c r="B643" s="7"/>
      <c r="C643" s="47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</row>
    <row r="644" ht="14.25" customHeight="1">
      <c r="A644" s="7"/>
      <c r="B644" s="7"/>
      <c r="C644" s="47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</row>
    <row r="645" ht="14.25" customHeight="1">
      <c r="A645" s="7"/>
      <c r="B645" s="7"/>
      <c r="C645" s="47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</row>
    <row r="646" ht="14.25" customHeight="1">
      <c r="A646" s="7"/>
      <c r="B646" s="7"/>
      <c r="C646" s="47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</row>
    <row r="647" ht="14.25" customHeight="1">
      <c r="A647" s="7"/>
      <c r="B647" s="7"/>
      <c r="C647" s="47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</row>
    <row r="648" ht="14.25" customHeight="1">
      <c r="A648" s="7"/>
      <c r="B648" s="7"/>
      <c r="C648" s="47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</row>
    <row r="649" ht="14.25" customHeight="1">
      <c r="A649" s="7"/>
      <c r="B649" s="7"/>
      <c r="C649" s="47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</row>
    <row r="650" ht="14.25" customHeight="1">
      <c r="A650" s="7"/>
      <c r="B650" s="7"/>
      <c r="C650" s="47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</row>
    <row r="651" ht="14.25" customHeight="1">
      <c r="A651" s="7"/>
      <c r="B651" s="7"/>
      <c r="C651" s="47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</row>
    <row r="652" ht="14.25" customHeight="1">
      <c r="A652" s="7"/>
      <c r="B652" s="7"/>
      <c r="C652" s="47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</row>
    <row r="653" ht="14.25" customHeight="1">
      <c r="A653" s="7"/>
      <c r="B653" s="7"/>
      <c r="C653" s="47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</row>
    <row r="654" ht="14.25" customHeight="1">
      <c r="A654" s="7"/>
      <c r="B654" s="7"/>
      <c r="C654" s="47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</row>
    <row r="655" ht="14.25" customHeight="1">
      <c r="A655" s="7"/>
      <c r="B655" s="7"/>
      <c r="C655" s="47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</row>
    <row r="656" ht="14.25" customHeight="1">
      <c r="A656" s="7"/>
      <c r="B656" s="7"/>
      <c r="C656" s="47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</row>
    <row r="657" ht="14.25" customHeight="1">
      <c r="A657" s="7"/>
      <c r="B657" s="7"/>
      <c r="C657" s="47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</row>
    <row r="658" ht="14.25" customHeight="1">
      <c r="A658" s="7"/>
      <c r="B658" s="7"/>
      <c r="C658" s="47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</row>
    <row r="659" ht="14.25" customHeight="1">
      <c r="A659" s="7"/>
      <c r="B659" s="7"/>
      <c r="C659" s="47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</row>
    <row r="660" ht="14.25" customHeight="1">
      <c r="A660" s="7"/>
      <c r="B660" s="7"/>
      <c r="C660" s="47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 ht="14.25" customHeight="1">
      <c r="A661" s="7"/>
      <c r="B661" s="7"/>
      <c r="C661" s="47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 ht="14.25" customHeight="1">
      <c r="A662" s="7"/>
      <c r="B662" s="7"/>
      <c r="C662" s="47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 ht="14.25" customHeight="1">
      <c r="A663" s="7"/>
      <c r="B663" s="7"/>
      <c r="C663" s="47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 ht="14.25" customHeight="1">
      <c r="A664" s="7"/>
      <c r="B664" s="7"/>
      <c r="C664" s="47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 ht="14.25" customHeight="1">
      <c r="A665" s="7"/>
      <c r="B665" s="7"/>
      <c r="C665" s="47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 ht="14.25" customHeight="1">
      <c r="A666" s="7"/>
      <c r="B666" s="7"/>
      <c r="C666" s="47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 ht="14.25" customHeight="1">
      <c r="A667" s="7"/>
      <c r="B667" s="7"/>
      <c r="C667" s="47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 ht="14.25" customHeight="1">
      <c r="A668" s="7"/>
      <c r="B668" s="7"/>
      <c r="C668" s="47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 ht="14.25" customHeight="1">
      <c r="A669" s="7"/>
      <c r="B669" s="7"/>
      <c r="C669" s="47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 ht="14.25" customHeight="1">
      <c r="A670" s="7"/>
      <c r="B670" s="7"/>
      <c r="C670" s="47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 ht="14.25" customHeight="1">
      <c r="A671" s="7"/>
      <c r="B671" s="7"/>
      <c r="C671" s="47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 ht="14.25" customHeight="1">
      <c r="A672" s="7"/>
      <c r="B672" s="7"/>
      <c r="C672" s="47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</row>
    <row r="673" ht="14.25" customHeight="1">
      <c r="A673" s="7"/>
      <c r="B673" s="7"/>
      <c r="C673" s="47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</row>
    <row r="674" ht="14.25" customHeight="1">
      <c r="A674" s="7"/>
      <c r="B674" s="7"/>
      <c r="C674" s="47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</row>
    <row r="675" ht="14.25" customHeight="1">
      <c r="A675" s="7"/>
      <c r="B675" s="7"/>
      <c r="C675" s="47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</row>
    <row r="676" ht="14.25" customHeight="1">
      <c r="A676" s="7"/>
      <c r="B676" s="7"/>
      <c r="C676" s="47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</row>
    <row r="677" ht="14.25" customHeight="1">
      <c r="A677" s="7"/>
      <c r="B677" s="7"/>
      <c r="C677" s="47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</row>
    <row r="678" ht="14.25" customHeight="1">
      <c r="A678" s="7"/>
      <c r="B678" s="7"/>
      <c r="C678" s="47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</row>
    <row r="679" ht="14.25" customHeight="1">
      <c r="A679" s="7"/>
      <c r="B679" s="7"/>
      <c r="C679" s="47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 ht="14.25" customHeight="1">
      <c r="A680" s="7"/>
      <c r="B680" s="7"/>
      <c r="C680" s="47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 ht="14.25" customHeight="1">
      <c r="A681" s="7"/>
      <c r="B681" s="7"/>
      <c r="C681" s="47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 ht="14.25" customHeight="1">
      <c r="A682" s="7"/>
      <c r="B682" s="7"/>
      <c r="C682" s="47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 ht="14.25" customHeight="1">
      <c r="A683" s="7"/>
      <c r="B683" s="7"/>
      <c r="C683" s="47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 ht="14.25" customHeight="1">
      <c r="A684" s="7"/>
      <c r="B684" s="7"/>
      <c r="C684" s="47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 ht="14.25" customHeight="1">
      <c r="A685" s="7"/>
      <c r="B685" s="7"/>
      <c r="C685" s="47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 ht="14.25" customHeight="1">
      <c r="A686" s="7"/>
      <c r="B686" s="7"/>
      <c r="C686" s="47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 ht="14.25" customHeight="1">
      <c r="A687" s="7"/>
      <c r="B687" s="7"/>
      <c r="C687" s="47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 ht="14.25" customHeight="1">
      <c r="A688" s="7"/>
      <c r="B688" s="7"/>
      <c r="C688" s="47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 ht="14.25" customHeight="1">
      <c r="A689" s="7"/>
      <c r="B689" s="7"/>
      <c r="C689" s="47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 ht="14.25" customHeight="1">
      <c r="A690" s="7"/>
      <c r="B690" s="7"/>
      <c r="C690" s="47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 ht="14.25" customHeight="1">
      <c r="A691" s="7"/>
      <c r="B691" s="7"/>
      <c r="C691" s="47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 ht="14.25" customHeight="1">
      <c r="A692" s="7"/>
      <c r="B692" s="7"/>
      <c r="C692" s="47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 ht="14.25" customHeight="1">
      <c r="A693" s="7"/>
      <c r="B693" s="7"/>
      <c r="C693" s="47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 ht="14.25" customHeight="1">
      <c r="A694" s="7"/>
      <c r="B694" s="7"/>
      <c r="C694" s="47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 ht="14.25" customHeight="1">
      <c r="A695" s="7"/>
      <c r="B695" s="7"/>
      <c r="C695" s="47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 ht="14.25" customHeight="1">
      <c r="A696" s="7"/>
      <c r="B696" s="7"/>
      <c r="C696" s="47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 ht="14.25" customHeight="1">
      <c r="A697" s="7"/>
      <c r="B697" s="7"/>
      <c r="C697" s="47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</row>
    <row r="698" ht="14.25" customHeight="1">
      <c r="A698" s="7"/>
      <c r="B698" s="7"/>
      <c r="C698" s="47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</row>
    <row r="699" ht="14.25" customHeight="1">
      <c r="A699" s="7"/>
      <c r="B699" s="7"/>
      <c r="C699" s="47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</row>
    <row r="700" ht="14.25" customHeight="1">
      <c r="A700" s="7"/>
      <c r="B700" s="7"/>
      <c r="C700" s="47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</row>
    <row r="701" ht="14.25" customHeight="1">
      <c r="A701" s="7"/>
      <c r="B701" s="7"/>
      <c r="C701" s="47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</row>
    <row r="702" ht="14.25" customHeight="1">
      <c r="A702" s="7"/>
      <c r="B702" s="7"/>
      <c r="C702" s="47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</row>
    <row r="703" ht="14.25" customHeight="1">
      <c r="A703" s="7"/>
      <c r="B703" s="7"/>
      <c r="C703" s="47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</row>
    <row r="704" ht="14.25" customHeight="1">
      <c r="A704" s="7"/>
      <c r="B704" s="7"/>
      <c r="C704" s="47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</row>
    <row r="705" ht="14.25" customHeight="1">
      <c r="A705" s="7"/>
      <c r="B705" s="7"/>
      <c r="C705" s="47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</row>
    <row r="706" ht="14.25" customHeight="1">
      <c r="A706" s="7"/>
      <c r="B706" s="7"/>
      <c r="C706" s="47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</row>
    <row r="707" ht="14.25" customHeight="1">
      <c r="A707" s="7"/>
      <c r="B707" s="7"/>
      <c r="C707" s="47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</row>
    <row r="708" ht="14.25" customHeight="1">
      <c r="A708" s="7"/>
      <c r="B708" s="7"/>
      <c r="C708" s="47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</row>
    <row r="709" ht="14.25" customHeight="1">
      <c r="A709" s="7"/>
      <c r="B709" s="7"/>
      <c r="C709" s="47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</row>
    <row r="710" ht="14.25" customHeight="1">
      <c r="A710" s="7"/>
      <c r="B710" s="7"/>
      <c r="C710" s="47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</row>
    <row r="711" ht="14.25" customHeight="1">
      <c r="A711" s="7"/>
      <c r="B711" s="7"/>
      <c r="C711" s="47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</row>
    <row r="712" ht="14.25" customHeight="1">
      <c r="A712" s="7"/>
      <c r="B712" s="7"/>
      <c r="C712" s="47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</row>
    <row r="713" ht="14.25" customHeight="1">
      <c r="A713" s="7"/>
      <c r="B713" s="7"/>
      <c r="C713" s="47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</row>
    <row r="714" ht="14.25" customHeight="1">
      <c r="A714" s="7"/>
      <c r="B714" s="7"/>
      <c r="C714" s="47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</row>
    <row r="715" ht="14.25" customHeight="1">
      <c r="A715" s="7"/>
      <c r="B715" s="7"/>
      <c r="C715" s="47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</row>
    <row r="716" ht="14.25" customHeight="1">
      <c r="A716" s="7"/>
      <c r="B716" s="7"/>
      <c r="C716" s="47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</row>
    <row r="717" ht="14.25" customHeight="1">
      <c r="A717" s="7"/>
      <c r="B717" s="7"/>
      <c r="C717" s="47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</row>
    <row r="718" ht="14.25" customHeight="1">
      <c r="A718" s="7"/>
      <c r="B718" s="7"/>
      <c r="C718" s="47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</row>
    <row r="719" ht="14.25" customHeight="1">
      <c r="A719" s="7"/>
      <c r="B719" s="7"/>
      <c r="C719" s="47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</row>
    <row r="720" ht="14.25" customHeight="1">
      <c r="A720" s="7"/>
      <c r="B720" s="7"/>
      <c r="C720" s="47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</row>
    <row r="721" ht="14.25" customHeight="1">
      <c r="A721" s="7"/>
      <c r="B721" s="7"/>
      <c r="C721" s="47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</row>
    <row r="722" ht="14.25" customHeight="1">
      <c r="A722" s="7"/>
      <c r="B722" s="7"/>
      <c r="C722" s="47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</row>
    <row r="723" ht="14.25" customHeight="1">
      <c r="A723" s="7"/>
      <c r="B723" s="7"/>
      <c r="C723" s="47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</row>
    <row r="724" ht="14.25" customHeight="1">
      <c r="A724" s="7"/>
      <c r="B724" s="7"/>
      <c r="C724" s="47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</row>
    <row r="725" ht="14.25" customHeight="1">
      <c r="A725" s="7"/>
      <c r="B725" s="7"/>
      <c r="C725" s="47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</row>
    <row r="726" ht="14.25" customHeight="1">
      <c r="A726" s="7"/>
      <c r="B726" s="7"/>
      <c r="C726" s="47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</row>
    <row r="727" ht="14.25" customHeight="1">
      <c r="A727" s="7"/>
      <c r="B727" s="7"/>
      <c r="C727" s="47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</row>
    <row r="728" ht="14.25" customHeight="1">
      <c r="A728" s="7"/>
      <c r="B728" s="7"/>
      <c r="C728" s="47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</row>
    <row r="729" ht="14.25" customHeight="1">
      <c r="A729" s="7"/>
      <c r="B729" s="7"/>
      <c r="C729" s="47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</row>
    <row r="730" ht="14.25" customHeight="1">
      <c r="A730" s="7"/>
      <c r="B730" s="7"/>
      <c r="C730" s="47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</row>
    <row r="731" ht="14.25" customHeight="1">
      <c r="A731" s="7"/>
      <c r="B731" s="7"/>
      <c r="C731" s="47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</row>
    <row r="732" ht="14.25" customHeight="1">
      <c r="A732" s="7"/>
      <c r="B732" s="7"/>
      <c r="C732" s="47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</row>
    <row r="733" ht="14.25" customHeight="1">
      <c r="A733" s="7"/>
      <c r="B733" s="7"/>
      <c r="C733" s="47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</row>
    <row r="734" ht="14.25" customHeight="1">
      <c r="A734" s="7"/>
      <c r="B734" s="7"/>
      <c r="C734" s="47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</row>
    <row r="735" ht="14.25" customHeight="1">
      <c r="A735" s="7"/>
      <c r="B735" s="7"/>
      <c r="C735" s="47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</row>
    <row r="736" ht="14.25" customHeight="1">
      <c r="A736" s="7"/>
      <c r="B736" s="7"/>
      <c r="C736" s="47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</row>
    <row r="737" ht="14.25" customHeight="1">
      <c r="A737" s="7"/>
      <c r="B737" s="7"/>
      <c r="C737" s="47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</row>
    <row r="738" ht="14.25" customHeight="1">
      <c r="A738" s="7"/>
      <c r="B738" s="7"/>
      <c r="C738" s="47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</row>
    <row r="739" ht="14.25" customHeight="1">
      <c r="A739" s="7"/>
      <c r="B739" s="7"/>
      <c r="C739" s="47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</row>
    <row r="740" ht="14.25" customHeight="1">
      <c r="A740" s="7"/>
      <c r="B740" s="7"/>
      <c r="C740" s="47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 ht="14.25" customHeight="1">
      <c r="A741" s="7"/>
      <c r="B741" s="7"/>
      <c r="C741" s="47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 ht="14.25" customHeight="1">
      <c r="A742" s="7"/>
      <c r="B742" s="7"/>
      <c r="C742" s="47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 ht="14.25" customHeight="1">
      <c r="A743" s="7"/>
      <c r="B743" s="7"/>
      <c r="C743" s="47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 ht="14.25" customHeight="1">
      <c r="A744" s="7"/>
      <c r="B744" s="7"/>
      <c r="C744" s="47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 ht="14.25" customHeight="1">
      <c r="A745" s="7"/>
      <c r="B745" s="7"/>
      <c r="C745" s="47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 ht="14.25" customHeight="1">
      <c r="A746" s="7"/>
      <c r="B746" s="7"/>
      <c r="C746" s="47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 ht="14.25" customHeight="1">
      <c r="A747" s="7"/>
      <c r="B747" s="7"/>
      <c r="C747" s="47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 ht="14.25" customHeight="1">
      <c r="A748" s="7"/>
      <c r="B748" s="7"/>
      <c r="C748" s="47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 ht="14.25" customHeight="1">
      <c r="A749" s="7"/>
      <c r="B749" s="7"/>
      <c r="C749" s="47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</row>
    <row r="750" ht="14.25" customHeight="1">
      <c r="A750" s="7"/>
      <c r="B750" s="7"/>
      <c r="C750" s="47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</row>
    <row r="751" ht="14.25" customHeight="1">
      <c r="A751" s="7"/>
      <c r="B751" s="7"/>
      <c r="C751" s="47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</row>
    <row r="752" ht="14.25" customHeight="1">
      <c r="A752" s="7"/>
      <c r="B752" s="7"/>
      <c r="C752" s="47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</row>
    <row r="753" ht="14.25" customHeight="1">
      <c r="A753" s="7"/>
      <c r="B753" s="7"/>
      <c r="C753" s="47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</row>
    <row r="754" ht="14.25" customHeight="1">
      <c r="A754" s="7"/>
      <c r="B754" s="7"/>
      <c r="C754" s="47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</row>
    <row r="755" ht="14.25" customHeight="1">
      <c r="A755" s="7"/>
      <c r="B755" s="7"/>
      <c r="C755" s="47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</row>
    <row r="756" ht="14.25" customHeight="1">
      <c r="A756" s="7"/>
      <c r="B756" s="7"/>
      <c r="C756" s="47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</row>
    <row r="757" ht="14.25" customHeight="1">
      <c r="A757" s="7"/>
      <c r="B757" s="7"/>
      <c r="C757" s="47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</row>
    <row r="758" ht="14.25" customHeight="1">
      <c r="A758" s="7"/>
      <c r="B758" s="7"/>
      <c r="C758" s="47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</row>
    <row r="759" ht="14.25" customHeight="1">
      <c r="A759" s="7"/>
      <c r="B759" s="7"/>
      <c r="C759" s="47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</row>
    <row r="760" ht="14.25" customHeight="1">
      <c r="A760" s="7"/>
      <c r="B760" s="7"/>
      <c r="C760" s="47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</row>
    <row r="761" ht="14.25" customHeight="1">
      <c r="A761" s="7"/>
      <c r="B761" s="7"/>
      <c r="C761" s="47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</row>
    <row r="762" ht="14.25" customHeight="1">
      <c r="A762" s="7"/>
      <c r="B762" s="7"/>
      <c r="C762" s="47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</row>
    <row r="763" ht="14.25" customHeight="1">
      <c r="A763" s="7"/>
      <c r="B763" s="7"/>
      <c r="C763" s="47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</row>
    <row r="764" ht="14.25" customHeight="1">
      <c r="A764" s="7"/>
      <c r="B764" s="7"/>
      <c r="C764" s="47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</row>
    <row r="765" ht="14.25" customHeight="1">
      <c r="A765" s="7"/>
      <c r="B765" s="7"/>
      <c r="C765" s="47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</row>
    <row r="766" ht="14.25" customHeight="1">
      <c r="A766" s="7"/>
      <c r="B766" s="7"/>
      <c r="C766" s="47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</row>
    <row r="767" ht="14.25" customHeight="1">
      <c r="A767" s="7"/>
      <c r="B767" s="7"/>
      <c r="C767" s="47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</row>
    <row r="768" ht="14.25" customHeight="1">
      <c r="A768" s="7"/>
      <c r="B768" s="7"/>
      <c r="C768" s="47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</row>
    <row r="769" ht="14.25" customHeight="1">
      <c r="A769" s="7"/>
      <c r="B769" s="7"/>
      <c r="C769" s="47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</row>
    <row r="770" ht="14.25" customHeight="1">
      <c r="A770" s="7"/>
      <c r="B770" s="7"/>
      <c r="C770" s="47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</row>
    <row r="771" ht="14.25" customHeight="1">
      <c r="A771" s="7"/>
      <c r="B771" s="7"/>
      <c r="C771" s="47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</row>
    <row r="772" ht="14.25" customHeight="1">
      <c r="A772" s="7"/>
      <c r="B772" s="7"/>
      <c r="C772" s="47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</row>
    <row r="773" ht="14.25" customHeight="1">
      <c r="A773" s="7"/>
      <c r="B773" s="7"/>
      <c r="C773" s="47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</row>
    <row r="774" ht="14.25" customHeight="1">
      <c r="A774" s="7"/>
      <c r="B774" s="7"/>
      <c r="C774" s="47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</row>
    <row r="775" ht="14.25" customHeight="1">
      <c r="A775" s="7"/>
      <c r="B775" s="7"/>
      <c r="C775" s="47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</row>
    <row r="776" ht="14.25" customHeight="1">
      <c r="A776" s="7"/>
      <c r="B776" s="7"/>
      <c r="C776" s="47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</row>
    <row r="777" ht="14.25" customHeight="1">
      <c r="A777" s="7"/>
      <c r="B777" s="7"/>
      <c r="C777" s="47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</row>
    <row r="778" ht="14.25" customHeight="1">
      <c r="A778" s="7"/>
      <c r="B778" s="7"/>
      <c r="C778" s="47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</row>
    <row r="779" ht="14.25" customHeight="1">
      <c r="A779" s="7"/>
      <c r="B779" s="7"/>
      <c r="C779" s="47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</row>
    <row r="780" ht="14.25" customHeight="1">
      <c r="A780" s="7"/>
      <c r="B780" s="7"/>
      <c r="C780" s="47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</row>
    <row r="781" ht="14.25" customHeight="1">
      <c r="A781" s="7"/>
      <c r="B781" s="7"/>
      <c r="C781" s="47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</row>
    <row r="782" ht="14.25" customHeight="1">
      <c r="A782" s="7"/>
      <c r="B782" s="7"/>
      <c r="C782" s="47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</row>
    <row r="783" ht="14.25" customHeight="1">
      <c r="A783" s="7"/>
      <c r="B783" s="7"/>
      <c r="C783" s="47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</row>
    <row r="784" ht="14.25" customHeight="1">
      <c r="A784" s="7"/>
      <c r="B784" s="7"/>
      <c r="C784" s="47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</row>
    <row r="785" ht="14.25" customHeight="1">
      <c r="A785" s="7"/>
      <c r="B785" s="7"/>
      <c r="C785" s="47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</row>
    <row r="786" ht="14.25" customHeight="1">
      <c r="A786" s="7"/>
      <c r="B786" s="7"/>
      <c r="C786" s="47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</row>
    <row r="787" ht="14.25" customHeight="1">
      <c r="A787" s="7"/>
      <c r="B787" s="7"/>
      <c r="C787" s="47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</row>
    <row r="788" ht="14.25" customHeight="1">
      <c r="A788" s="7"/>
      <c r="B788" s="7"/>
      <c r="C788" s="47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</row>
    <row r="789" ht="14.25" customHeight="1">
      <c r="A789" s="7"/>
      <c r="B789" s="7"/>
      <c r="C789" s="47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</row>
    <row r="790" ht="14.25" customHeight="1">
      <c r="A790" s="7"/>
      <c r="B790" s="7"/>
      <c r="C790" s="47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</row>
    <row r="791" ht="14.25" customHeight="1">
      <c r="A791" s="7"/>
      <c r="B791" s="7"/>
      <c r="C791" s="47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</row>
    <row r="792" ht="14.25" customHeight="1">
      <c r="A792" s="7"/>
      <c r="B792" s="7"/>
      <c r="C792" s="47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</row>
    <row r="793" ht="14.25" customHeight="1">
      <c r="A793" s="7"/>
      <c r="B793" s="7"/>
      <c r="C793" s="47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</row>
    <row r="794" ht="14.25" customHeight="1">
      <c r="A794" s="7"/>
      <c r="B794" s="7"/>
      <c r="C794" s="47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</row>
    <row r="795" ht="14.25" customHeight="1">
      <c r="A795" s="7"/>
      <c r="B795" s="7"/>
      <c r="C795" s="47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</row>
    <row r="796" ht="14.25" customHeight="1">
      <c r="A796" s="7"/>
      <c r="B796" s="7"/>
      <c r="C796" s="47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</row>
    <row r="797" ht="14.25" customHeight="1">
      <c r="A797" s="7"/>
      <c r="B797" s="7"/>
      <c r="C797" s="47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</row>
    <row r="798" ht="14.25" customHeight="1">
      <c r="A798" s="7"/>
      <c r="B798" s="7"/>
      <c r="C798" s="47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</row>
    <row r="799" ht="14.25" customHeight="1">
      <c r="A799" s="7"/>
      <c r="B799" s="7"/>
      <c r="C799" s="47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</row>
    <row r="800" ht="14.25" customHeight="1">
      <c r="A800" s="7"/>
      <c r="B800" s="7"/>
      <c r="C800" s="47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</row>
    <row r="801" ht="14.25" customHeight="1">
      <c r="A801" s="7"/>
      <c r="B801" s="7"/>
      <c r="C801" s="47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</row>
    <row r="802" ht="14.25" customHeight="1">
      <c r="A802" s="7"/>
      <c r="B802" s="7"/>
      <c r="C802" s="47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</row>
    <row r="803" ht="14.25" customHeight="1">
      <c r="A803" s="7"/>
      <c r="B803" s="7"/>
      <c r="C803" s="47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</row>
    <row r="804" ht="14.25" customHeight="1">
      <c r="A804" s="7"/>
      <c r="B804" s="7"/>
      <c r="C804" s="47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</row>
    <row r="805" ht="14.25" customHeight="1">
      <c r="A805" s="7"/>
      <c r="B805" s="7"/>
      <c r="C805" s="47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</row>
    <row r="806" ht="14.25" customHeight="1">
      <c r="A806" s="7"/>
      <c r="B806" s="7"/>
      <c r="C806" s="47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</row>
    <row r="807" ht="14.25" customHeight="1">
      <c r="A807" s="7"/>
      <c r="B807" s="7"/>
      <c r="C807" s="47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</row>
    <row r="808" ht="14.25" customHeight="1">
      <c r="A808" s="7"/>
      <c r="B808" s="7"/>
      <c r="C808" s="47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</row>
    <row r="809" ht="14.25" customHeight="1">
      <c r="A809" s="7"/>
      <c r="B809" s="7"/>
      <c r="C809" s="47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</row>
    <row r="810" ht="14.25" customHeight="1">
      <c r="A810" s="7"/>
      <c r="B810" s="7"/>
      <c r="C810" s="47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</row>
    <row r="811" ht="14.25" customHeight="1">
      <c r="A811" s="7"/>
      <c r="B811" s="7"/>
      <c r="C811" s="47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</row>
    <row r="812" ht="14.25" customHeight="1">
      <c r="A812" s="7"/>
      <c r="B812" s="7"/>
      <c r="C812" s="47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</row>
    <row r="813" ht="14.25" customHeight="1">
      <c r="A813" s="7"/>
      <c r="B813" s="7"/>
      <c r="C813" s="47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</row>
    <row r="814" ht="14.25" customHeight="1">
      <c r="A814" s="7"/>
      <c r="B814" s="7"/>
      <c r="C814" s="47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</row>
    <row r="815" ht="14.25" customHeight="1">
      <c r="A815" s="7"/>
      <c r="B815" s="7"/>
      <c r="C815" s="47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</row>
    <row r="816" ht="14.25" customHeight="1">
      <c r="A816" s="7"/>
      <c r="B816" s="7"/>
      <c r="C816" s="47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</row>
    <row r="817" ht="14.25" customHeight="1">
      <c r="A817" s="7"/>
      <c r="B817" s="7"/>
      <c r="C817" s="47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</row>
    <row r="818" ht="14.25" customHeight="1">
      <c r="A818" s="7"/>
      <c r="B818" s="7"/>
      <c r="C818" s="47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</row>
    <row r="819" ht="14.25" customHeight="1">
      <c r="A819" s="7"/>
      <c r="B819" s="7"/>
      <c r="C819" s="47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</row>
    <row r="820" ht="14.25" customHeight="1">
      <c r="A820" s="7"/>
      <c r="B820" s="7"/>
      <c r="C820" s="47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</row>
    <row r="821" ht="14.25" customHeight="1">
      <c r="A821" s="7"/>
      <c r="B821" s="7"/>
      <c r="C821" s="47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</row>
    <row r="822" ht="14.25" customHeight="1">
      <c r="A822" s="7"/>
      <c r="B822" s="7"/>
      <c r="C822" s="47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</row>
    <row r="823" ht="14.25" customHeight="1">
      <c r="A823" s="7"/>
      <c r="B823" s="7"/>
      <c r="C823" s="47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</row>
    <row r="824" ht="14.25" customHeight="1">
      <c r="A824" s="7"/>
      <c r="B824" s="7"/>
      <c r="C824" s="47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</row>
    <row r="825" ht="14.25" customHeight="1">
      <c r="A825" s="7"/>
      <c r="B825" s="7"/>
      <c r="C825" s="47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</row>
    <row r="826" ht="14.25" customHeight="1">
      <c r="A826" s="7"/>
      <c r="B826" s="7"/>
      <c r="C826" s="47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</row>
    <row r="827" ht="14.25" customHeight="1">
      <c r="A827" s="7"/>
      <c r="B827" s="7"/>
      <c r="C827" s="47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</row>
    <row r="828" ht="14.25" customHeight="1">
      <c r="A828" s="7"/>
      <c r="B828" s="7"/>
      <c r="C828" s="47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</row>
    <row r="829" ht="14.25" customHeight="1">
      <c r="A829" s="7"/>
      <c r="B829" s="7"/>
      <c r="C829" s="47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</row>
    <row r="830" ht="14.25" customHeight="1">
      <c r="A830" s="7"/>
      <c r="B830" s="7"/>
      <c r="C830" s="47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</row>
    <row r="831" ht="14.25" customHeight="1">
      <c r="A831" s="7"/>
      <c r="B831" s="7"/>
      <c r="C831" s="47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</row>
    <row r="832" ht="14.25" customHeight="1">
      <c r="A832" s="7"/>
      <c r="B832" s="7"/>
      <c r="C832" s="47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</row>
    <row r="833" ht="14.25" customHeight="1">
      <c r="A833" s="7"/>
      <c r="B833" s="7"/>
      <c r="C833" s="47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</row>
    <row r="834" ht="14.25" customHeight="1">
      <c r="A834" s="7"/>
      <c r="B834" s="7"/>
      <c r="C834" s="47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</row>
    <row r="835" ht="14.25" customHeight="1">
      <c r="A835" s="7"/>
      <c r="B835" s="7"/>
      <c r="C835" s="47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</row>
    <row r="836" ht="14.25" customHeight="1">
      <c r="A836" s="7"/>
      <c r="B836" s="7"/>
      <c r="C836" s="47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</row>
    <row r="837" ht="14.25" customHeight="1">
      <c r="A837" s="7"/>
      <c r="B837" s="7"/>
      <c r="C837" s="47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</row>
    <row r="838" ht="14.25" customHeight="1">
      <c r="A838" s="7"/>
      <c r="B838" s="7"/>
      <c r="C838" s="47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</row>
    <row r="839" ht="14.25" customHeight="1">
      <c r="A839" s="7"/>
      <c r="B839" s="7"/>
      <c r="C839" s="47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</row>
    <row r="840" ht="14.25" customHeight="1">
      <c r="A840" s="7"/>
      <c r="B840" s="7"/>
      <c r="C840" s="47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</row>
    <row r="841" ht="14.25" customHeight="1">
      <c r="A841" s="7"/>
      <c r="B841" s="7"/>
      <c r="C841" s="47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</row>
    <row r="842" ht="14.25" customHeight="1">
      <c r="A842" s="7"/>
      <c r="B842" s="7"/>
      <c r="C842" s="47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</row>
    <row r="843" ht="14.25" customHeight="1">
      <c r="A843" s="7"/>
      <c r="B843" s="7"/>
      <c r="C843" s="47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</row>
    <row r="844" ht="14.25" customHeight="1">
      <c r="A844" s="7"/>
      <c r="B844" s="7"/>
      <c r="C844" s="47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</row>
    <row r="845" ht="14.25" customHeight="1">
      <c r="A845" s="7"/>
      <c r="B845" s="7"/>
      <c r="C845" s="47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</row>
    <row r="846" ht="14.25" customHeight="1">
      <c r="A846" s="7"/>
      <c r="B846" s="7"/>
      <c r="C846" s="47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</row>
    <row r="847" ht="14.25" customHeight="1">
      <c r="A847" s="7"/>
      <c r="B847" s="7"/>
      <c r="C847" s="47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</row>
    <row r="848" ht="14.25" customHeight="1">
      <c r="A848" s="7"/>
      <c r="B848" s="7"/>
      <c r="C848" s="47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</row>
    <row r="849" ht="14.25" customHeight="1">
      <c r="A849" s="7"/>
      <c r="B849" s="7"/>
      <c r="C849" s="47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</row>
    <row r="850" ht="14.25" customHeight="1">
      <c r="A850" s="7"/>
      <c r="B850" s="7"/>
      <c r="C850" s="47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</row>
    <row r="851" ht="14.25" customHeight="1">
      <c r="A851" s="7"/>
      <c r="B851" s="7"/>
      <c r="C851" s="47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</row>
    <row r="852" ht="14.25" customHeight="1">
      <c r="A852" s="7"/>
      <c r="B852" s="7"/>
      <c r="C852" s="47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</row>
    <row r="853" ht="14.25" customHeight="1">
      <c r="A853" s="7"/>
      <c r="B853" s="7"/>
      <c r="C853" s="47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</row>
    <row r="854" ht="14.25" customHeight="1">
      <c r="A854" s="7"/>
      <c r="B854" s="7"/>
      <c r="C854" s="47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</row>
    <row r="855" ht="14.25" customHeight="1">
      <c r="A855" s="7"/>
      <c r="B855" s="7"/>
      <c r="C855" s="47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</row>
    <row r="856" ht="14.25" customHeight="1">
      <c r="A856" s="7"/>
      <c r="B856" s="7"/>
      <c r="C856" s="47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</row>
    <row r="857" ht="14.25" customHeight="1">
      <c r="A857" s="7"/>
      <c r="B857" s="7"/>
      <c r="C857" s="47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</row>
    <row r="858" ht="14.25" customHeight="1">
      <c r="A858" s="7"/>
      <c r="B858" s="7"/>
      <c r="C858" s="47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</row>
    <row r="859" ht="14.25" customHeight="1">
      <c r="A859" s="7"/>
      <c r="B859" s="7"/>
      <c r="C859" s="47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</row>
    <row r="860" ht="14.25" customHeight="1">
      <c r="A860" s="7"/>
      <c r="B860" s="7"/>
      <c r="C860" s="47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</row>
    <row r="861" ht="14.25" customHeight="1">
      <c r="A861" s="7"/>
      <c r="B861" s="7"/>
      <c r="C861" s="47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</row>
    <row r="862" ht="14.25" customHeight="1">
      <c r="A862" s="7"/>
      <c r="B862" s="7"/>
      <c r="C862" s="47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</row>
    <row r="863" ht="14.25" customHeight="1">
      <c r="A863" s="7"/>
      <c r="B863" s="7"/>
      <c r="C863" s="47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</row>
    <row r="864" ht="14.25" customHeight="1">
      <c r="A864" s="7"/>
      <c r="B864" s="7"/>
      <c r="C864" s="47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</row>
    <row r="865" ht="14.25" customHeight="1">
      <c r="A865" s="7"/>
      <c r="B865" s="7"/>
      <c r="C865" s="47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</row>
    <row r="866" ht="14.25" customHeight="1">
      <c r="A866" s="7"/>
      <c r="B866" s="7"/>
      <c r="C866" s="47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</row>
    <row r="867" ht="14.25" customHeight="1">
      <c r="A867" s="7"/>
      <c r="B867" s="7"/>
      <c r="C867" s="47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</row>
    <row r="868" ht="14.25" customHeight="1">
      <c r="A868" s="7"/>
      <c r="B868" s="7"/>
      <c r="C868" s="47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</row>
    <row r="869" ht="14.25" customHeight="1">
      <c r="A869" s="7"/>
      <c r="B869" s="7"/>
      <c r="C869" s="47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</row>
    <row r="870" ht="14.25" customHeight="1">
      <c r="A870" s="7"/>
      <c r="B870" s="7"/>
      <c r="C870" s="47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</row>
    <row r="871" ht="14.25" customHeight="1">
      <c r="A871" s="7"/>
      <c r="B871" s="7"/>
      <c r="C871" s="47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</row>
    <row r="872" ht="14.25" customHeight="1">
      <c r="A872" s="7"/>
      <c r="B872" s="7"/>
      <c r="C872" s="47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</row>
    <row r="873" ht="14.25" customHeight="1">
      <c r="A873" s="7"/>
      <c r="B873" s="7"/>
      <c r="C873" s="47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</row>
    <row r="874" ht="14.25" customHeight="1">
      <c r="A874" s="7"/>
      <c r="B874" s="7"/>
      <c r="C874" s="47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</row>
    <row r="875" ht="14.25" customHeight="1">
      <c r="A875" s="7"/>
      <c r="B875" s="7"/>
      <c r="C875" s="47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</row>
    <row r="876" ht="14.25" customHeight="1">
      <c r="A876" s="7"/>
      <c r="B876" s="7"/>
      <c r="C876" s="47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</row>
    <row r="877" ht="14.25" customHeight="1">
      <c r="A877" s="7"/>
      <c r="B877" s="7"/>
      <c r="C877" s="47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</row>
    <row r="878" ht="14.25" customHeight="1">
      <c r="A878" s="7"/>
      <c r="B878" s="7"/>
      <c r="C878" s="47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</row>
    <row r="879" ht="14.25" customHeight="1">
      <c r="A879" s="7"/>
      <c r="B879" s="7"/>
      <c r="C879" s="47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</row>
    <row r="880" ht="14.25" customHeight="1">
      <c r="A880" s="7"/>
      <c r="B880" s="7"/>
      <c r="C880" s="47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</row>
    <row r="881" ht="14.25" customHeight="1">
      <c r="A881" s="7"/>
      <c r="B881" s="7"/>
      <c r="C881" s="47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</row>
    <row r="882" ht="14.25" customHeight="1">
      <c r="A882" s="7"/>
      <c r="B882" s="7"/>
      <c r="C882" s="47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</row>
    <row r="883" ht="14.25" customHeight="1">
      <c r="A883" s="7"/>
      <c r="B883" s="7"/>
      <c r="C883" s="47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</row>
    <row r="884" ht="14.25" customHeight="1">
      <c r="A884" s="7"/>
      <c r="B884" s="7"/>
      <c r="C884" s="47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</row>
    <row r="885" ht="14.25" customHeight="1">
      <c r="A885" s="7"/>
      <c r="B885" s="7"/>
      <c r="C885" s="47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</row>
    <row r="886" ht="14.25" customHeight="1">
      <c r="A886" s="7"/>
      <c r="B886" s="7"/>
      <c r="C886" s="47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</row>
    <row r="887" ht="14.25" customHeight="1">
      <c r="A887" s="7"/>
      <c r="B887" s="7"/>
      <c r="C887" s="47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</row>
    <row r="888" ht="14.25" customHeight="1">
      <c r="A888" s="7"/>
      <c r="B888" s="7"/>
      <c r="C888" s="47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</row>
    <row r="889" ht="14.25" customHeight="1">
      <c r="A889" s="7"/>
      <c r="B889" s="7"/>
      <c r="C889" s="47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</row>
    <row r="890" ht="14.25" customHeight="1">
      <c r="A890" s="7"/>
      <c r="B890" s="7"/>
      <c r="C890" s="47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</row>
    <row r="891" ht="14.25" customHeight="1">
      <c r="A891" s="7"/>
      <c r="B891" s="7"/>
      <c r="C891" s="47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</row>
    <row r="892" ht="14.25" customHeight="1">
      <c r="A892" s="7"/>
      <c r="B892" s="7"/>
      <c r="C892" s="47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</row>
    <row r="893" ht="14.25" customHeight="1">
      <c r="A893" s="7"/>
      <c r="B893" s="7"/>
      <c r="C893" s="47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</row>
    <row r="894" ht="14.25" customHeight="1">
      <c r="A894" s="7"/>
      <c r="B894" s="7"/>
      <c r="C894" s="47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</row>
    <row r="895" ht="14.25" customHeight="1">
      <c r="A895" s="7"/>
      <c r="B895" s="7"/>
      <c r="C895" s="47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</row>
    <row r="896" ht="14.25" customHeight="1">
      <c r="A896" s="7"/>
      <c r="B896" s="7"/>
      <c r="C896" s="47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</row>
    <row r="897" ht="14.25" customHeight="1">
      <c r="A897" s="7"/>
      <c r="B897" s="7"/>
      <c r="C897" s="47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</row>
    <row r="898" ht="14.25" customHeight="1">
      <c r="A898" s="7"/>
      <c r="B898" s="7"/>
      <c r="C898" s="47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</row>
    <row r="899" ht="14.25" customHeight="1">
      <c r="A899" s="7"/>
      <c r="B899" s="7"/>
      <c r="C899" s="47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</row>
    <row r="900" ht="14.25" customHeight="1">
      <c r="A900" s="7"/>
      <c r="B900" s="7"/>
      <c r="C900" s="47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</row>
    <row r="901" ht="14.25" customHeight="1">
      <c r="A901" s="7"/>
      <c r="B901" s="7"/>
      <c r="C901" s="47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</row>
    <row r="902" ht="14.25" customHeight="1">
      <c r="A902" s="7"/>
      <c r="B902" s="7"/>
      <c r="C902" s="47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</row>
    <row r="903" ht="14.25" customHeight="1">
      <c r="A903" s="7"/>
      <c r="B903" s="7"/>
      <c r="C903" s="47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</row>
    <row r="904" ht="14.25" customHeight="1">
      <c r="A904" s="7"/>
      <c r="B904" s="7"/>
      <c r="C904" s="47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</row>
    <row r="905" ht="14.25" customHeight="1">
      <c r="A905" s="7"/>
      <c r="B905" s="7"/>
      <c r="C905" s="47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</row>
    <row r="906" ht="14.25" customHeight="1">
      <c r="A906" s="7"/>
      <c r="B906" s="7"/>
      <c r="C906" s="47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</row>
    <row r="907" ht="14.25" customHeight="1">
      <c r="A907" s="7"/>
      <c r="B907" s="7"/>
      <c r="C907" s="47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</row>
    <row r="908" ht="14.25" customHeight="1">
      <c r="A908" s="7"/>
      <c r="B908" s="7"/>
      <c r="C908" s="47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</row>
    <row r="909" ht="14.25" customHeight="1">
      <c r="A909" s="7"/>
      <c r="B909" s="7"/>
      <c r="C909" s="47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</row>
    <row r="910" ht="14.25" customHeight="1">
      <c r="A910" s="7"/>
      <c r="B910" s="7"/>
      <c r="C910" s="47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</row>
    <row r="911" ht="14.25" customHeight="1">
      <c r="A911" s="7"/>
      <c r="B911" s="7"/>
      <c r="C911" s="47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</row>
    <row r="912" ht="14.25" customHeight="1">
      <c r="A912" s="7"/>
      <c r="B912" s="7"/>
      <c r="C912" s="47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</row>
    <row r="913" ht="14.25" customHeight="1">
      <c r="A913" s="7"/>
      <c r="B913" s="7"/>
      <c r="C913" s="47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</row>
    <row r="914" ht="14.25" customHeight="1">
      <c r="A914" s="7"/>
      <c r="B914" s="7"/>
      <c r="C914" s="47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</row>
    <row r="915" ht="14.25" customHeight="1">
      <c r="A915" s="7"/>
      <c r="B915" s="7"/>
      <c r="C915" s="47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</row>
    <row r="916" ht="14.25" customHeight="1">
      <c r="A916" s="7"/>
      <c r="B916" s="7"/>
      <c r="C916" s="47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</row>
    <row r="917" ht="14.25" customHeight="1">
      <c r="A917" s="7"/>
      <c r="B917" s="7"/>
      <c r="C917" s="47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</row>
    <row r="918" ht="14.25" customHeight="1">
      <c r="A918" s="7"/>
      <c r="B918" s="7"/>
      <c r="C918" s="47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</row>
    <row r="919" ht="14.25" customHeight="1">
      <c r="A919" s="7"/>
      <c r="B919" s="7"/>
      <c r="C919" s="47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</row>
    <row r="920" ht="14.25" customHeight="1">
      <c r="A920" s="7"/>
      <c r="B920" s="7"/>
      <c r="C920" s="47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</row>
    <row r="921" ht="14.25" customHeight="1">
      <c r="A921" s="7"/>
      <c r="B921" s="7"/>
      <c r="C921" s="47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</row>
    <row r="922" ht="14.25" customHeight="1">
      <c r="A922" s="7"/>
      <c r="B922" s="7"/>
      <c r="C922" s="47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</row>
    <row r="923" ht="14.25" customHeight="1">
      <c r="A923" s="7"/>
      <c r="B923" s="7"/>
      <c r="C923" s="47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</row>
    <row r="924" ht="14.25" customHeight="1">
      <c r="A924" s="7"/>
      <c r="B924" s="7"/>
      <c r="C924" s="47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</row>
    <row r="925" ht="14.25" customHeight="1">
      <c r="A925" s="7"/>
      <c r="B925" s="7"/>
      <c r="C925" s="47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</row>
    <row r="926" ht="14.25" customHeight="1">
      <c r="A926" s="7"/>
      <c r="B926" s="7"/>
      <c r="C926" s="47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</row>
    <row r="927" ht="14.25" customHeight="1">
      <c r="A927" s="7"/>
      <c r="B927" s="7"/>
      <c r="C927" s="47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</row>
    <row r="928" ht="14.25" customHeight="1">
      <c r="A928" s="7"/>
      <c r="B928" s="7"/>
      <c r="C928" s="47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</row>
    <row r="929" ht="14.25" customHeight="1">
      <c r="A929" s="7"/>
      <c r="B929" s="7"/>
      <c r="C929" s="47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</row>
    <row r="930" ht="14.25" customHeight="1">
      <c r="A930" s="7"/>
      <c r="B930" s="7"/>
      <c r="C930" s="47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</row>
    <row r="931" ht="14.25" customHeight="1">
      <c r="A931" s="7"/>
      <c r="B931" s="7"/>
      <c r="C931" s="47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</row>
    <row r="932" ht="14.25" customHeight="1">
      <c r="A932" s="7"/>
      <c r="B932" s="7"/>
      <c r="C932" s="47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</row>
    <row r="933" ht="14.25" customHeight="1">
      <c r="A933" s="7"/>
      <c r="B933" s="7"/>
      <c r="C933" s="47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</row>
    <row r="934" ht="14.25" customHeight="1">
      <c r="A934" s="7"/>
      <c r="B934" s="7"/>
      <c r="C934" s="47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</row>
    <row r="935" ht="14.25" customHeight="1">
      <c r="A935" s="7"/>
      <c r="B935" s="7"/>
      <c r="C935" s="47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</row>
    <row r="936" ht="14.25" customHeight="1">
      <c r="A936" s="7"/>
      <c r="B936" s="7"/>
      <c r="C936" s="47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</row>
    <row r="937" ht="14.25" customHeight="1">
      <c r="A937" s="7"/>
      <c r="B937" s="7"/>
      <c r="C937" s="47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</row>
    <row r="938" ht="14.25" customHeight="1">
      <c r="A938" s="7"/>
      <c r="B938" s="7"/>
      <c r="C938" s="47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</row>
    <row r="939" ht="14.25" customHeight="1">
      <c r="A939" s="7"/>
      <c r="B939" s="7"/>
      <c r="C939" s="47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</row>
    <row r="940" ht="14.25" customHeight="1">
      <c r="A940" s="7"/>
      <c r="B940" s="7"/>
      <c r="C940" s="47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</row>
    <row r="941" ht="14.25" customHeight="1">
      <c r="A941" s="7"/>
      <c r="B941" s="7"/>
      <c r="C941" s="47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</row>
    <row r="942" ht="14.25" customHeight="1">
      <c r="A942" s="7"/>
      <c r="B942" s="7"/>
      <c r="C942" s="47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</row>
    <row r="943" ht="14.25" customHeight="1">
      <c r="A943" s="7"/>
      <c r="B943" s="7"/>
      <c r="C943" s="47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</row>
    <row r="944" ht="14.25" customHeight="1">
      <c r="A944" s="7"/>
      <c r="B944" s="7"/>
      <c r="C944" s="47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</row>
    <row r="945" ht="14.25" customHeight="1">
      <c r="A945" s="7"/>
      <c r="B945" s="7"/>
      <c r="C945" s="47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</row>
    <row r="946" ht="14.25" customHeight="1">
      <c r="A946" s="7"/>
      <c r="B946" s="7"/>
      <c r="C946" s="47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</row>
    <row r="947" ht="14.25" customHeight="1">
      <c r="A947" s="7"/>
      <c r="B947" s="7"/>
      <c r="C947" s="47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</row>
    <row r="948" ht="14.25" customHeight="1">
      <c r="A948" s="7"/>
      <c r="B948" s="7"/>
      <c r="C948" s="47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</row>
    <row r="949" ht="14.25" customHeight="1">
      <c r="A949" s="7"/>
      <c r="B949" s="7"/>
      <c r="C949" s="47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</row>
    <row r="950" ht="14.25" customHeight="1">
      <c r="A950" s="7"/>
      <c r="B950" s="7"/>
      <c r="C950" s="47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</row>
    <row r="951" ht="14.25" customHeight="1">
      <c r="A951" s="7"/>
      <c r="B951" s="7"/>
      <c r="C951" s="47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</row>
    <row r="952" ht="14.25" customHeight="1">
      <c r="A952" s="7"/>
      <c r="B952" s="7"/>
      <c r="C952" s="47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</row>
    <row r="953" ht="14.25" customHeight="1">
      <c r="A953" s="7"/>
      <c r="B953" s="7"/>
      <c r="C953" s="47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</row>
    <row r="954" ht="14.25" customHeight="1">
      <c r="A954" s="7"/>
      <c r="B954" s="7"/>
      <c r="C954" s="47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</row>
    <row r="955" ht="14.25" customHeight="1">
      <c r="A955" s="7"/>
      <c r="B955" s="7"/>
      <c r="C955" s="47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</row>
    <row r="956" ht="14.25" customHeight="1">
      <c r="A956" s="7"/>
      <c r="B956" s="7"/>
      <c r="C956" s="47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</row>
    <row r="957" ht="14.25" customHeight="1">
      <c r="A957" s="7"/>
      <c r="B957" s="7"/>
      <c r="C957" s="47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</row>
    <row r="958" ht="14.25" customHeight="1">
      <c r="A958" s="7"/>
      <c r="B958" s="7"/>
      <c r="C958" s="47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</row>
    <row r="959" ht="14.25" customHeight="1">
      <c r="A959" s="7"/>
      <c r="B959" s="7"/>
      <c r="C959" s="47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</row>
    <row r="960" ht="14.25" customHeight="1">
      <c r="A960" s="7"/>
      <c r="B960" s="7"/>
      <c r="C960" s="47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</row>
    <row r="961" ht="14.25" customHeight="1">
      <c r="A961" s="7"/>
      <c r="B961" s="7"/>
      <c r="C961" s="47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</row>
    <row r="962" ht="14.25" customHeight="1">
      <c r="A962" s="7"/>
      <c r="B962" s="7"/>
      <c r="C962" s="47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</row>
    <row r="963" ht="14.25" customHeight="1">
      <c r="A963" s="7"/>
      <c r="B963" s="7"/>
      <c r="C963" s="47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</row>
    <row r="964" ht="14.25" customHeight="1">
      <c r="A964" s="7"/>
      <c r="B964" s="7"/>
      <c r="C964" s="47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</row>
    <row r="965" ht="14.25" customHeight="1">
      <c r="A965" s="7"/>
      <c r="B965" s="7"/>
      <c r="C965" s="47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</row>
    <row r="966" ht="14.25" customHeight="1">
      <c r="A966" s="7"/>
      <c r="B966" s="7"/>
      <c r="C966" s="47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</row>
    <row r="967" ht="14.25" customHeight="1">
      <c r="A967" s="7"/>
      <c r="B967" s="7"/>
      <c r="C967" s="47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</row>
    <row r="968" ht="14.25" customHeight="1">
      <c r="A968" s="7"/>
      <c r="B968" s="7"/>
      <c r="C968" s="47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</row>
    <row r="969" ht="14.25" customHeight="1">
      <c r="A969" s="7"/>
      <c r="B969" s="7"/>
      <c r="C969" s="47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</row>
    <row r="970" ht="14.25" customHeight="1">
      <c r="A970" s="7"/>
      <c r="B970" s="7"/>
      <c r="C970" s="47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</row>
    <row r="971" ht="14.25" customHeight="1">
      <c r="A971" s="7"/>
      <c r="B971" s="7"/>
      <c r="C971" s="47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</row>
    <row r="972" ht="14.25" customHeight="1">
      <c r="A972" s="7"/>
      <c r="B972" s="7"/>
      <c r="C972" s="47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</row>
    <row r="973" ht="14.25" customHeight="1">
      <c r="A973" s="7"/>
      <c r="B973" s="7"/>
      <c r="C973" s="47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</row>
    <row r="974" ht="14.25" customHeight="1">
      <c r="A974" s="7"/>
      <c r="B974" s="7"/>
      <c r="C974" s="47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</row>
    <row r="975" ht="14.25" customHeight="1">
      <c r="A975" s="7"/>
      <c r="B975" s="7"/>
      <c r="C975" s="47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</row>
    <row r="976" ht="14.25" customHeight="1">
      <c r="A976" s="7"/>
      <c r="B976" s="7"/>
      <c r="C976" s="47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</row>
    <row r="977" ht="14.25" customHeight="1">
      <c r="A977" s="7"/>
      <c r="B977" s="7"/>
      <c r="C977" s="47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</row>
    <row r="978" ht="14.25" customHeight="1">
      <c r="A978" s="7"/>
      <c r="B978" s="7"/>
      <c r="C978" s="47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</row>
    <row r="979" ht="14.25" customHeight="1">
      <c r="A979" s="7"/>
      <c r="B979" s="7"/>
      <c r="C979" s="47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</row>
    <row r="980" ht="14.25" customHeight="1">
      <c r="A980" s="7"/>
      <c r="B980" s="7"/>
      <c r="C980" s="47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</row>
    <row r="981" ht="14.25" customHeight="1">
      <c r="A981" s="7"/>
      <c r="B981" s="7"/>
      <c r="C981" s="47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</row>
    <row r="982" ht="14.25" customHeight="1">
      <c r="A982" s="7"/>
      <c r="B982" s="7"/>
      <c r="C982" s="47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</row>
    <row r="983" ht="14.25" customHeight="1">
      <c r="A983" s="7"/>
      <c r="B983" s="7"/>
      <c r="C983" s="47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</row>
    <row r="984" ht="14.25" customHeight="1">
      <c r="A984" s="7"/>
      <c r="B984" s="7"/>
      <c r="C984" s="47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 ht="14.25" customHeight="1">
      <c r="A985" s="7"/>
      <c r="B985" s="7"/>
      <c r="C985" s="47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 ht="14.25" customHeight="1">
      <c r="A986" s="7"/>
      <c r="B986" s="7"/>
      <c r="C986" s="47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  <row r="987" ht="14.25" customHeight="1">
      <c r="A987" s="7"/>
      <c r="B987" s="7"/>
      <c r="C987" s="47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</row>
    <row r="988" ht="14.25" customHeight="1">
      <c r="A988" s="7"/>
      <c r="B988" s="7"/>
      <c r="C988" s="47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</row>
    <row r="989" ht="14.25" customHeight="1">
      <c r="A989" s="7"/>
      <c r="B989" s="7"/>
      <c r="C989" s="47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</row>
    <row r="990" ht="14.25" customHeight="1">
      <c r="A990" s="7"/>
      <c r="B990" s="7"/>
      <c r="C990" s="47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 ht="14.25" customHeight="1">
      <c r="A991" s="7"/>
      <c r="B991" s="7"/>
      <c r="C991" s="47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 ht="14.25" customHeight="1">
      <c r="A992" s="7"/>
      <c r="B992" s="7"/>
      <c r="C992" s="47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  <row r="993" ht="14.25" customHeight="1">
      <c r="A993" s="7"/>
      <c r="B993" s="7"/>
      <c r="C993" s="47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</row>
    <row r="994" ht="14.25" customHeight="1">
      <c r="A994" s="7"/>
      <c r="B994" s="7"/>
      <c r="C994" s="47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</row>
    <row r="995" ht="14.25" customHeight="1">
      <c r="A995" s="7"/>
      <c r="B995" s="7"/>
      <c r="C995" s="47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</row>
    <row r="996" ht="14.25" customHeight="1">
      <c r="A996" s="7"/>
      <c r="B996" s="7"/>
      <c r="C996" s="47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</row>
    <row r="997" ht="14.25" customHeight="1">
      <c r="A997" s="7"/>
      <c r="B997" s="7"/>
      <c r="C997" s="47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</row>
    <row r="998" ht="14.25" customHeight="1">
      <c r="A998" s="7"/>
      <c r="B998" s="7"/>
      <c r="C998" s="47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</row>
    <row r="999" ht="14.25" customHeight="1">
      <c r="A999" s="7"/>
      <c r="B999" s="7"/>
      <c r="C999" s="47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</row>
    <row r="1000" ht="14.25" customHeight="1">
      <c r="A1000" s="7"/>
      <c r="B1000" s="7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</row>
    <row r="1001" ht="14.25" customHeight="1">
      <c r="A1001" s="7"/>
      <c r="B1001" s="7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</row>
    <row r="1002" ht="14.25" customHeight="1">
      <c r="A1002" s="7"/>
      <c r="B1002" s="7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</row>
  </sheetData>
  <mergeCells count="4">
    <mergeCell ref="A6:A27"/>
    <mergeCell ref="A30:A42"/>
    <mergeCell ref="A44:A49"/>
    <mergeCell ref="A50:A58"/>
  </mergeCells>
  <conditionalFormatting sqref="C4:AB4 C61:AB61">
    <cfRule type="cellIs" dxfId="0" priority="1" operator="between">
      <formula>0</formula>
      <formula>25000</formula>
    </cfRule>
  </conditionalFormatting>
  <conditionalFormatting sqref="C4:AB4 C61:AB61">
    <cfRule type="cellIs" dxfId="1" priority="2" operator="greaterThan">
      <formula>25000</formula>
    </cfRule>
  </conditionalFormatting>
  <conditionalFormatting sqref="C4:AB4 C61:AB61">
    <cfRule type="cellIs" dxfId="2" priority="3" operator="lessThan">
      <formula>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Row="1"/>
  <cols>
    <col customWidth="1" min="1" max="1" width="7.0"/>
    <col customWidth="1" min="2" max="2" width="28.5"/>
    <col customWidth="1" hidden="1" min="3" max="3" width="15.88"/>
    <col customWidth="1" hidden="1" min="4" max="4" width="14.13"/>
    <col customWidth="1" hidden="1" min="5" max="8" width="13.88"/>
    <col customWidth="1" hidden="1" min="9" max="9" width="14.25"/>
    <col customWidth="1" hidden="1" min="10" max="10" width="13.88"/>
    <col customWidth="1" hidden="1" min="11" max="11" width="14.0"/>
    <col customWidth="1" hidden="1" min="12" max="12" width="15.0"/>
    <col customWidth="1" hidden="1" min="13" max="17" width="13.88"/>
    <col customWidth="1" hidden="1" min="18" max="19" width="15.0"/>
    <col customWidth="1" min="20" max="20" width="15.0"/>
    <col customWidth="1" min="21" max="33" width="13.88"/>
  </cols>
  <sheetData>
    <row r="1" ht="14.25" customHeight="1">
      <c r="A1" s="1"/>
      <c r="B1" s="1"/>
      <c r="C1" s="2" t="s">
        <v>0</v>
      </c>
      <c r="D1" s="3" t="str">
        <f t="shared" ref="D1:AG1" si="1">+C1</f>
        <v>LUNES</v>
      </c>
      <c r="E1" s="3" t="str">
        <f t="shared" si="1"/>
        <v>LUNES</v>
      </c>
      <c r="F1" s="3" t="str">
        <f t="shared" si="1"/>
        <v>LUNES</v>
      </c>
      <c r="G1" s="3" t="str">
        <f t="shared" si="1"/>
        <v>LUNES</v>
      </c>
      <c r="H1" s="3" t="str">
        <f t="shared" si="1"/>
        <v>LUNES</v>
      </c>
      <c r="I1" s="3" t="str">
        <f t="shared" si="1"/>
        <v>LUNES</v>
      </c>
      <c r="J1" s="3" t="str">
        <f t="shared" si="1"/>
        <v>LUNES</v>
      </c>
      <c r="K1" s="3" t="str">
        <f t="shared" si="1"/>
        <v>LUNES</v>
      </c>
      <c r="L1" s="3" t="str">
        <f t="shared" si="1"/>
        <v>LUNES</v>
      </c>
      <c r="M1" s="3" t="str">
        <f t="shared" si="1"/>
        <v>LUNES</v>
      </c>
      <c r="N1" s="3" t="str">
        <f t="shared" si="1"/>
        <v>LUNES</v>
      </c>
      <c r="O1" s="3" t="str">
        <f t="shared" si="1"/>
        <v>LUNES</v>
      </c>
      <c r="P1" s="3" t="str">
        <f t="shared" si="1"/>
        <v>LUNES</v>
      </c>
      <c r="Q1" s="3" t="str">
        <f t="shared" si="1"/>
        <v>LUNES</v>
      </c>
      <c r="R1" s="3" t="str">
        <f t="shared" si="1"/>
        <v>LUNES</v>
      </c>
      <c r="S1" s="3" t="str">
        <f t="shared" si="1"/>
        <v>LUNES</v>
      </c>
      <c r="T1" s="3" t="str">
        <f t="shared" si="1"/>
        <v>LUNES</v>
      </c>
      <c r="U1" s="3" t="str">
        <f t="shared" si="1"/>
        <v>LUNES</v>
      </c>
      <c r="V1" s="3" t="str">
        <f t="shared" si="1"/>
        <v>LUNES</v>
      </c>
      <c r="W1" s="3" t="str">
        <f t="shared" si="1"/>
        <v>LUNES</v>
      </c>
      <c r="X1" s="3" t="str">
        <f t="shared" si="1"/>
        <v>LUNES</v>
      </c>
      <c r="Y1" s="3" t="str">
        <f t="shared" si="1"/>
        <v>LUNES</v>
      </c>
      <c r="Z1" s="3" t="str">
        <f t="shared" si="1"/>
        <v>LUNES</v>
      </c>
      <c r="AA1" s="3" t="str">
        <f t="shared" si="1"/>
        <v>LUNES</v>
      </c>
      <c r="AB1" s="3" t="str">
        <f t="shared" si="1"/>
        <v>LUNES</v>
      </c>
      <c r="AC1" s="3" t="str">
        <f t="shared" si="1"/>
        <v>LUNES</v>
      </c>
      <c r="AD1" s="3" t="str">
        <f t="shared" si="1"/>
        <v>LUNES</v>
      </c>
      <c r="AE1" s="3" t="str">
        <f t="shared" si="1"/>
        <v>LUNES</v>
      </c>
      <c r="AF1" s="3" t="str">
        <f t="shared" si="1"/>
        <v>LUNES</v>
      </c>
      <c r="AG1" s="3" t="str">
        <f t="shared" si="1"/>
        <v>LUNES</v>
      </c>
    </row>
    <row r="2" ht="14.25" customHeight="1">
      <c r="A2" s="4"/>
      <c r="B2" s="4"/>
      <c r="C2" s="5">
        <v>46020.0</v>
      </c>
      <c r="D2" s="6">
        <f t="shared" ref="D2:AG2" si="2">+C2+7</f>
        <v>46027</v>
      </c>
      <c r="E2" s="6">
        <f t="shared" si="2"/>
        <v>46034</v>
      </c>
      <c r="F2" s="6">
        <f t="shared" si="2"/>
        <v>46041</v>
      </c>
      <c r="G2" s="6">
        <f t="shared" si="2"/>
        <v>46048</v>
      </c>
      <c r="H2" s="6">
        <f t="shared" si="2"/>
        <v>46055</v>
      </c>
      <c r="I2" s="6">
        <f t="shared" si="2"/>
        <v>46062</v>
      </c>
      <c r="J2" s="6">
        <f t="shared" si="2"/>
        <v>46069</v>
      </c>
      <c r="K2" s="6">
        <f t="shared" si="2"/>
        <v>46076</v>
      </c>
      <c r="L2" s="6">
        <f t="shared" si="2"/>
        <v>46083</v>
      </c>
      <c r="M2" s="6">
        <f t="shared" si="2"/>
        <v>46090</v>
      </c>
      <c r="N2" s="6">
        <f t="shared" si="2"/>
        <v>46097</v>
      </c>
      <c r="O2" s="6">
        <f t="shared" si="2"/>
        <v>46104</v>
      </c>
      <c r="P2" s="6">
        <f t="shared" si="2"/>
        <v>46111</v>
      </c>
      <c r="Q2" s="6">
        <f t="shared" si="2"/>
        <v>46118</v>
      </c>
      <c r="R2" s="6">
        <f t="shared" si="2"/>
        <v>46125</v>
      </c>
      <c r="S2" s="6">
        <f t="shared" si="2"/>
        <v>46132</v>
      </c>
      <c r="T2" s="6">
        <f t="shared" si="2"/>
        <v>46139</v>
      </c>
      <c r="U2" s="6">
        <f t="shared" si="2"/>
        <v>46146</v>
      </c>
      <c r="V2" s="6">
        <f t="shared" si="2"/>
        <v>46153</v>
      </c>
      <c r="W2" s="6">
        <f t="shared" si="2"/>
        <v>46160</v>
      </c>
      <c r="X2" s="6">
        <f t="shared" si="2"/>
        <v>46167</v>
      </c>
      <c r="Y2" s="6">
        <f t="shared" si="2"/>
        <v>46174</v>
      </c>
      <c r="Z2" s="6">
        <f t="shared" si="2"/>
        <v>46181</v>
      </c>
      <c r="AA2" s="6">
        <f t="shared" si="2"/>
        <v>46188</v>
      </c>
      <c r="AB2" s="6">
        <f t="shared" si="2"/>
        <v>46195</v>
      </c>
      <c r="AC2" s="6">
        <f t="shared" si="2"/>
        <v>46202</v>
      </c>
      <c r="AD2" s="6">
        <f t="shared" si="2"/>
        <v>46209</v>
      </c>
      <c r="AE2" s="6">
        <f t="shared" si="2"/>
        <v>46216</v>
      </c>
      <c r="AF2" s="6">
        <f t="shared" si="2"/>
        <v>46223</v>
      </c>
      <c r="AG2" s="6">
        <f t="shared" si="2"/>
        <v>46230</v>
      </c>
    </row>
    <row r="3" ht="14.25" customHeight="1">
      <c r="A3" s="7"/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14.25" customHeight="1">
      <c r="A4" s="10"/>
      <c r="B4" s="11" t="s">
        <v>1</v>
      </c>
      <c r="C4" s="51">
        <v>0.0</v>
      </c>
      <c r="D4" s="13">
        <f t="shared" ref="D4:T4" si="3">+C61</f>
        <v>0</v>
      </c>
      <c r="E4" s="13">
        <f t="shared" si="3"/>
        <v>0</v>
      </c>
      <c r="F4" s="13">
        <f t="shared" si="3"/>
        <v>0</v>
      </c>
      <c r="G4" s="13">
        <f t="shared" si="3"/>
        <v>0</v>
      </c>
      <c r="H4" s="13">
        <f t="shared" si="3"/>
        <v>0</v>
      </c>
      <c r="I4" s="13">
        <f t="shared" si="3"/>
        <v>0</v>
      </c>
      <c r="J4" s="13">
        <f t="shared" si="3"/>
        <v>0</v>
      </c>
      <c r="K4" s="13">
        <f t="shared" si="3"/>
        <v>0</v>
      </c>
      <c r="L4" s="13">
        <f t="shared" si="3"/>
        <v>0</v>
      </c>
      <c r="M4" s="13">
        <f t="shared" si="3"/>
        <v>0</v>
      </c>
      <c r="N4" s="13">
        <f t="shared" si="3"/>
        <v>0</v>
      </c>
      <c r="O4" s="13">
        <f t="shared" si="3"/>
        <v>0</v>
      </c>
      <c r="P4" s="13">
        <f t="shared" si="3"/>
        <v>0</v>
      </c>
      <c r="Q4" s="13">
        <f t="shared" si="3"/>
        <v>0</v>
      </c>
      <c r="R4" s="13">
        <f t="shared" si="3"/>
        <v>0</v>
      </c>
      <c r="S4" s="13">
        <f t="shared" si="3"/>
        <v>0</v>
      </c>
      <c r="T4" s="13">
        <f t="shared" si="3"/>
        <v>0</v>
      </c>
      <c r="U4" s="12">
        <f>T61</f>
        <v>0</v>
      </c>
      <c r="V4" s="13">
        <f t="shared" ref="V4:AG4" si="4">+U61</f>
        <v>0</v>
      </c>
      <c r="W4" s="13">
        <f t="shared" si="4"/>
        <v>0</v>
      </c>
      <c r="X4" s="13">
        <f t="shared" si="4"/>
        <v>0</v>
      </c>
      <c r="Y4" s="13">
        <f t="shared" si="4"/>
        <v>0</v>
      </c>
      <c r="Z4" s="13">
        <f t="shared" si="4"/>
        <v>0</v>
      </c>
      <c r="AA4" s="13">
        <f t="shared" si="4"/>
        <v>0</v>
      </c>
      <c r="AB4" s="13">
        <f t="shared" si="4"/>
        <v>0</v>
      </c>
      <c r="AC4" s="13">
        <f t="shared" si="4"/>
        <v>0</v>
      </c>
      <c r="AD4" s="13">
        <f t="shared" si="4"/>
        <v>0</v>
      </c>
      <c r="AE4" s="13">
        <f t="shared" si="4"/>
        <v>0</v>
      </c>
      <c r="AF4" s="13">
        <f t="shared" si="4"/>
        <v>0</v>
      </c>
      <c r="AG4" s="13">
        <f t="shared" si="4"/>
        <v>0</v>
      </c>
    </row>
    <row r="5" ht="14.25" customHeight="1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4"/>
      <c r="T5" s="14"/>
      <c r="U5" s="14"/>
      <c r="V5" s="14"/>
      <c r="W5" s="14"/>
      <c r="X5" s="14"/>
      <c r="Y5" s="14"/>
      <c r="Z5" s="15"/>
      <c r="AA5" s="14"/>
      <c r="AB5" s="15"/>
      <c r="AC5" s="14"/>
      <c r="AD5" s="14"/>
      <c r="AE5" s="14"/>
      <c r="AF5" s="14"/>
      <c r="AG5" s="15"/>
    </row>
    <row r="6" ht="14.25" customHeight="1">
      <c r="A6" s="16" t="s">
        <v>2</v>
      </c>
      <c r="B6" s="17" t="s">
        <v>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ht="14.25" customHeight="1" outlineLevel="1">
      <c r="A7" s="20"/>
      <c r="B7" s="7" t="s">
        <v>4</v>
      </c>
      <c r="C7" s="21">
        <v>0.0</v>
      </c>
      <c r="D7" s="19">
        <v>0.0</v>
      </c>
      <c r="E7" s="21">
        <v>0.0</v>
      </c>
      <c r="F7" s="19">
        <v>0.0</v>
      </c>
      <c r="G7" s="21">
        <v>0.0</v>
      </c>
      <c r="H7" s="19">
        <v>0.0</v>
      </c>
      <c r="I7" s="21">
        <v>0.0</v>
      </c>
      <c r="J7" s="19">
        <v>0.0</v>
      </c>
      <c r="K7" s="21">
        <v>0.0</v>
      </c>
      <c r="L7" s="19">
        <v>0.0</v>
      </c>
      <c r="M7" s="21">
        <v>0.0</v>
      </c>
      <c r="N7" s="19">
        <v>0.0</v>
      </c>
      <c r="O7" s="21">
        <v>0.0</v>
      </c>
      <c r="P7" s="19">
        <v>0.0</v>
      </c>
      <c r="Q7" s="21">
        <v>0.0</v>
      </c>
      <c r="R7" s="19">
        <v>0.0</v>
      </c>
      <c r="S7" s="21">
        <v>0.0</v>
      </c>
      <c r="T7" s="19">
        <v>0.0</v>
      </c>
      <c r="U7" s="52">
        <v>0.0</v>
      </c>
      <c r="V7" s="19">
        <v>0.0</v>
      </c>
      <c r="W7" s="21">
        <v>0.0</v>
      </c>
      <c r="X7" s="19">
        <v>0.0</v>
      </c>
      <c r="Y7" s="19">
        <v>0.0</v>
      </c>
      <c r="Z7" s="19">
        <v>0.0</v>
      </c>
      <c r="AA7" s="19">
        <v>0.0</v>
      </c>
      <c r="AB7" s="19">
        <v>0.0</v>
      </c>
      <c r="AC7" s="19">
        <v>0.0</v>
      </c>
      <c r="AD7" s="21">
        <v>0.0</v>
      </c>
      <c r="AE7" s="19">
        <v>0.0</v>
      </c>
      <c r="AF7" s="19">
        <v>0.0</v>
      </c>
      <c r="AG7" s="19">
        <v>0.0</v>
      </c>
    </row>
    <row r="8" ht="14.25" customHeight="1" outlineLevel="1">
      <c r="A8" s="20"/>
      <c r="B8" s="19" t="s">
        <v>5</v>
      </c>
      <c r="C8" s="21">
        <v>0.0</v>
      </c>
      <c r="D8" s="19">
        <v>0.0</v>
      </c>
      <c r="E8" s="21">
        <v>0.0</v>
      </c>
      <c r="F8" s="19">
        <v>0.0</v>
      </c>
      <c r="G8" s="21">
        <v>0.0</v>
      </c>
      <c r="H8" s="19">
        <v>0.0</v>
      </c>
      <c r="I8" s="21">
        <v>0.0</v>
      </c>
      <c r="J8" s="19">
        <v>0.0</v>
      </c>
      <c r="K8" s="21">
        <v>0.0</v>
      </c>
      <c r="L8" s="19">
        <v>0.0</v>
      </c>
      <c r="M8" s="21">
        <v>0.0</v>
      </c>
      <c r="N8" s="19">
        <v>0.0</v>
      </c>
      <c r="O8" s="21">
        <v>0.0</v>
      </c>
      <c r="P8" s="19">
        <v>0.0</v>
      </c>
      <c r="Q8" s="21">
        <v>0.0</v>
      </c>
      <c r="R8" s="19">
        <v>0.0</v>
      </c>
      <c r="S8" s="21">
        <v>0.0</v>
      </c>
      <c r="T8" s="19">
        <v>0.0</v>
      </c>
      <c r="U8" s="21">
        <v>0.0</v>
      </c>
      <c r="V8" s="19">
        <v>0.0</v>
      </c>
      <c r="W8" s="21">
        <v>0.0</v>
      </c>
      <c r="X8" s="19">
        <v>0.0</v>
      </c>
      <c r="Y8" s="19">
        <v>0.0</v>
      </c>
      <c r="Z8" s="19">
        <v>0.0</v>
      </c>
      <c r="AA8" s="19">
        <v>0.0</v>
      </c>
      <c r="AB8" s="19">
        <v>0.0</v>
      </c>
      <c r="AC8" s="19">
        <v>0.0</v>
      </c>
      <c r="AD8" s="21">
        <v>0.0</v>
      </c>
      <c r="AE8" s="19">
        <v>0.0</v>
      </c>
      <c r="AF8" s="19">
        <v>0.0</v>
      </c>
      <c r="AG8" s="19">
        <v>0.0</v>
      </c>
    </row>
    <row r="9" ht="14.25" customHeight="1" outlineLevel="1">
      <c r="A9" s="20"/>
      <c r="B9" s="7" t="s">
        <v>6</v>
      </c>
      <c r="C9" s="21">
        <v>0.0</v>
      </c>
      <c r="D9" s="19">
        <v>0.0</v>
      </c>
      <c r="E9" s="21">
        <v>0.0</v>
      </c>
      <c r="F9" s="19">
        <v>0.0</v>
      </c>
      <c r="G9" s="21">
        <v>0.0</v>
      </c>
      <c r="H9" s="19">
        <v>0.0</v>
      </c>
      <c r="I9" s="21">
        <v>0.0</v>
      </c>
      <c r="J9" s="19">
        <v>0.0</v>
      </c>
      <c r="K9" s="21">
        <v>0.0</v>
      </c>
      <c r="L9" s="19">
        <v>0.0</v>
      </c>
      <c r="M9" s="21">
        <v>0.0</v>
      </c>
      <c r="N9" s="19">
        <v>0.0</v>
      </c>
      <c r="O9" s="21">
        <v>0.0</v>
      </c>
      <c r="P9" s="19">
        <v>0.0</v>
      </c>
      <c r="Q9" s="21">
        <v>0.0</v>
      </c>
      <c r="R9" s="19">
        <v>0.0</v>
      </c>
      <c r="S9" s="21">
        <v>0.0</v>
      </c>
      <c r="T9" s="19">
        <v>0.0</v>
      </c>
      <c r="U9" s="21">
        <v>0.0</v>
      </c>
      <c r="V9" s="19">
        <v>0.0</v>
      </c>
      <c r="W9" s="21">
        <v>0.0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  <c r="AC9" s="19">
        <v>0.0</v>
      </c>
      <c r="AD9" s="21">
        <v>0.0</v>
      </c>
      <c r="AE9" s="19">
        <v>0.0</v>
      </c>
      <c r="AF9" s="19">
        <v>0.0</v>
      </c>
      <c r="AG9" s="19">
        <v>0.0</v>
      </c>
    </row>
    <row r="10" ht="14.25" customHeight="1" outlineLevel="1">
      <c r="A10" s="20"/>
      <c r="B10" s="7" t="s">
        <v>7</v>
      </c>
      <c r="C10" s="21">
        <v>0.0</v>
      </c>
      <c r="D10" s="19">
        <v>0.0</v>
      </c>
      <c r="E10" s="21">
        <v>0.0</v>
      </c>
      <c r="F10" s="19">
        <v>0.0</v>
      </c>
      <c r="G10" s="21">
        <v>0.0</v>
      </c>
      <c r="H10" s="19">
        <v>0.0</v>
      </c>
      <c r="I10" s="21">
        <v>0.0</v>
      </c>
      <c r="J10" s="19">
        <v>0.0</v>
      </c>
      <c r="K10" s="21">
        <v>0.0</v>
      </c>
      <c r="L10" s="19">
        <v>0.0</v>
      </c>
      <c r="M10" s="21">
        <v>0.0</v>
      </c>
      <c r="N10" s="19">
        <v>0.0</v>
      </c>
      <c r="O10" s="21">
        <v>0.0</v>
      </c>
      <c r="P10" s="19">
        <v>0.0</v>
      </c>
      <c r="Q10" s="21">
        <v>0.0</v>
      </c>
      <c r="R10" s="19">
        <v>0.0</v>
      </c>
      <c r="S10" s="21">
        <v>0.0</v>
      </c>
      <c r="T10" s="19">
        <v>0.0</v>
      </c>
      <c r="U10" s="21">
        <v>0.0</v>
      </c>
      <c r="V10" s="19">
        <v>0.0</v>
      </c>
      <c r="W10" s="21">
        <v>0.0</v>
      </c>
      <c r="X10" s="19">
        <v>0.0</v>
      </c>
      <c r="Y10" s="19">
        <v>0.0</v>
      </c>
      <c r="Z10" s="19">
        <v>0.0</v>
      </c>
      <c r="AA10" s="19">
        <v>0.0</v>
      </c>
      <c r="AB10" s="19">
        <v>0.0</v>
      </c>
      <c r="AC10" s="19">
        <v>0.0</v>
      </c>
      <c r="AD10" s="21">
        <v>0.0</v>
      </c>
      <c r="AE10" s="19">
        <v>0.0</v>
      </c>
      <c r="AF10" s="19">
        <v>0.0</v>
      </c>
      <c r="AG10" s="19">
        <v>0.0</v>
      </c>
    </row>
    <row r="11" ht="14.25" customHeight="1" outlineLevel="1">
      <c r="A11" s="20"/>
      <c r="B11" s="7" t="s">
        <v>8</v>
      </c>
      <c r="C11" s="21">
        <v>0.0</v>
      </c>
      <c r="D11" s="19">
        <v>0.0</v>
      </c>
      <c r="E11" s="21">
        <v>0.0</v>
      </c>
      <c r="F11" s="19">
        <v>0.0</v>
      </c>
      <c r="G11" s="21">
        <v>0.0</v>
      </c>
      <c r="H11" s="19">
        <v>0.0</v>
      </c>
      <c r="I11" s="21">
        <v>0.0</v>
      </c>
      <c r="J11" s="19">
        <v>0.0</v>
      </c>
      <c r="K11" s="21">
        <v>0.0</v>
      </c>
      <c r="L11" s="19">
        <v>0.0</v>
      </c>
      <c r="M11" s="21">
        <v>0.0</v>
      </c>
      <c r="N11" s="19">
        <v>0.0</v>
      </c>
      <c r="O11" s="21">
        <v>0.0</v>
      </c>
      <c r="P11" s="19">
        <v>0.0</v>
      </c>
      <c r="Q11" s="21">
        <v>0.0</v>
      </c>
      <c r="R11" s="19">
        <v>0.0</v>
      </c>
      <c r="S11" s="21">
        <v>0.0</v>
      </c>
      <c r="T11" s="19">
        <v>0.0</v>
      </c>
      <c r="U11" s="21">
        <v>0.0</v>
      </c>
      <c r="V11" s="19">
        <v>0.0</v>
      </c>
      <c r="W11" s="21">
        <v>0.0</v>
      </c>
      <c r="X11" s="19">
        <v>0.0</v>
      </c>
      <c r="Y11" s="19">
        <v>0.0</v>
      </c>
      <c r="Z11" s="19">
        <v>0.0</v>
      </c>
      <c r="AA11" s="19">
        <v>0.0</v>
      </c>
      <c r="AB11" s="19">
        <v>0.0</v>
      </c>
      <c r="AC11" s="19">
        <v>0.0</v>
      </c>
      <c r="AD11" s="21">
        <v>0.0</v>
      </c>
      <c r="AE11" s="19">
        <v>0.0</v>
      </c>
      <c r="AF11" s="19">
        <v>0.0</v>
      </c>
      <c r="AG11" s="19">
        <v>0.0</v>
      </c>
    </row>
    <row r="12" ht="14.25" customHeight="1" outlineLevel="1">
      <c r="A12" s="20"/>
      <c r="B12" s="7" t="s">
        <v>9</v>
      </c>
      <c r="C12" s="21">
        <v>0.0</v>
      </c>
      <c r="D12" s="19">
        <v>0.0</v>
      </c>
      <c r="E12" s="21">
        <v>0.0</v>
      </c>
      <c r="F12" s="19">
        <v>0.0</v>
      </c>
      <c r="G12" s="21">
        <v>0.0</v>
      </c>
      <c r="H12" s="19">
        <v>0.0</v>
      </c>
      <c r="I12" s="21">
        <v>0.0</v>
      </c>
      <c r="J12" s="19">
        <v>0.0</v>
      </c>
      <c r="K12" s="21">
        <v>0.0</v>
      </c>
      <c r="L12" s="19">
        <v>0.0</v>
      </c>
      <c r="M12" s="21">
        <v>0.0</v>
      </c>
      <c r="N12" s="19">
        <v>0.0</v>
      </c>
      <c r="O12" s="21">
        <v>0.0</v>
      </c>
      <c r="P12" s="19">
        <v>0.0</v>
      </c>
      <c r="Q12" s="21">
        <v>0.0</v>
      </c>
      <c r="R12" s="19">
        <v>0.0</v>
      </c>
      <c r="S12" s="21">
        <v>0.0</v>
      </c>
      <c r="T12" s="19">
        <v>0.0</v>
      </c>
      <c r="U12" s="21">
        <v>0.0</v>
      </c>
      <c r="V12" s="19">
        <v>0.0</v>
      </c>
      <c r="W12" s="21">
        <v>0.0</v>
      </c>
      <c r="X12" s="19">
        <v>0.0</v>
      </c>
      <c r="Y12" s="19">
        <v>0.0</v>
      </c>
      <c r="Z12" s="19">
        <v>0.0</v>
      </c>
      <c r="AA12" s="19">
        <v>0.0</v>
      </c>
      <c r="AB12" s="19">
        <v>0.0</v>
      </c>
      <c r="AC12" s="19">
        <v>0.0</v>
      </c>
      <c r="AD12" s="21">
        <v>0.0</v>
      </c>
      <c r="AE12" s="19">
        <v>0.0</v>
      </c>
      <c r="AF12" s="19">
        <v>0.0</v>
      </c>
      <c r="AG12" s="19">
        <v>0.0</v>
      </c>
    </row>
    <row r="13" ht="14.25" customHeight="1" outlineLevel="1">
      <c r="A13" s="20"/>
      <c r="B13" s="19" t="s">
        <v>10</v>
      </c>
      <c r="C13" s="21">
        <v>0.0</v>
      </c>
      <c r="D13" s="19">
        <v>0.0</v>
      </c>
      <c r="E13" s="21">
        <v>0.0</v>
      </c>
      <c r="F13" s="19">
        <v>0.0</v>
      </c>
      <c r="G13" s="21">
        <v>0.0</v>
      </c>
      <c r="H13" s="19">
        <v>0.0</v>
      </c>
      <c r="I13" s="21">
        <v>0.0</v>
      </c>
      <c r="J13" s="19">
        <v>0.0</v>
      </c>
      <c r="K13" s="21">
        <v>0.0</v>
      </c>
      <c r="L13" s="19">
        <v>0.0</v>
      </c>
      <c r="M13" s="21">
        <v>0.0</v>
      </c>
      <c r="N13" s="19">
        <v>0.0</v>
      </c>
      <c r="O13" s="21">
        <v>0.0</v>
      </c>
      <c r="P13" s="19">
        <v>0.0</v>
      </c>
      <c r="Q13" s="21">
        <v>0.0</v>
      </c>
      <c r="R13" s="19">
        <v>0.0</v>
      </c>
      <c r="S13" s="21">
        <v>0.0</v>
      </c>
      <c r="T13" s="22">
        <v>0.0</v>
      </c>
      <c r="U13" s="21">
        <v>0.0</v>
      </c>
      <c r="V13" s="19">
        <v>0.0</v>
      </c>
      <c r="W13" s="21">
        <v>0.0</v>
      </c>
      <c r="X13" s="19">
        <v>0.0</v>
      </c>
      <c r="Y13" s="19">
        <v>0.0</v>
      </c>
      <c r="Z13" s="19">
        <v>0.0</v>
      </c>
      <c r="AA13" s="19">
        <v>0.0</v>
      </c>
      <c r="AB13" s="19">
        <v>0.0</v>
      </c>
      <c r="AC13" s="19">
        <v>0.0</v>
      </c>
      <c r="AD13" s="21">
        <v>0.0</v>
      </c>
      <c r="AE13" s="19">
        <v>0.0</v>
      </c>
      <c r="AF13" s="19">
        <v>0.0</v>
      </c>
      <c r="AG13" s="19">
        <v>0.0</v>
      </c>
    </row>
    <row r="14" ht="14.25" customHeight="1" outlineLevel="1">
      <c r="A14" s="20"/>
      <c r="B14" s="7" t="s">
        <v>11</v>
      </c>
      <c r="C14" s="21">
        <v>0.0</v>
      </c>
      <c r="D14" s="19">
        <v>0.0</v>
      </c>
      <c r="E14" s="21">
        <v>0.0</v>
      </c>
      <c r="F14" s="19">
        <v>0.0</v>
      </c>
      <c r="G14" s="21">
        <v>0.0</v>
      </c>
      <c r="H14" s="19">
        <v>0.0</v>
      </c>
      <c r="I14" s="21">
        <v>0.0</v>
      </c>
      <c r="J14" s="19">
        <v>0.0</v>
      </c>
      <c r="K14" s="21">
        <v>0.0</v>
      </c>
      <c r="L14" s="19">
        <v>0.0</v>
      </c>
      <c r="M14" s="21">
        <v>0.0</v>
      </c>
      <c r="N14" s="19">
        <v>0.0</v>
      </c>
      <c r="O14" s="21">
        <v>0.0</v>
      </c>
      <c r="P14" s="19">
        <v>0.0</v>
      </c>
      <c r="Q14" s="21">
        <v>0.0</v>
      </c>
      <c r="R14" s="19">
        <v>0.0</v>
      </c>
      <c r="S14" s="21">
        <v>0.0</v>
      </c>
      <c r="T14" s="19">
        <v>0.0</v>
      </c>
      <c r="U14" s="21">
        <v>0.0</v>
      </c>
      <c r="V14" s="19">
        <v>0.0</v>
      </c>
      <c r="W14" s="21">
        <v>0.0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  <c r="AC14" s="19">
        <v>0.0</v>
      </c>
      <c r="AD14" s="21">
        <v>0.0</v>
      </c>
      <c r="AE14" s="19">
        <v>0.0</v>
      </c>
      <c r="AF14" s="19">
        <v>0.0</v>
      </c>
      <c r="AG14" s="19">
        <v>0.0</v>
      </c>
    </row>
    <row r="15" ht="14.25" customHeight="1" outlineLevel="1">
      <c r="A15" s="20"/>
      <c r="B15" s="7" t="s">
        <v>12</v>
      </c>
      <c r="C15" s="19">
        <v>0.0</v>
      </c>
      <c r="D15" s="19">
        <v>0.0</v>
      </c>
      <c r="E15" s="19">
        <v>0.0</v>
      </c>
      <c r="F15" s="19">
        <v>0.0</v>
      </c>
      <c r="G15" s="19">
        <v>0.0</v>
      </c>
      <c r="H15" s="19">
        <v>0.0</v>
      </c>
      <c r="I15" s="19">
        <v>0.0</v>
      </c>
      <c r="J15" s="19">
        <v>0.0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19">
        <v>0.0</v>
      </c>
      <c r="U15" s="19">
        <v>0.0</v>
      </c>
      <c r="V15" s="19">
        <v>0.0</v>
      </c>
      <c r="W15" s="19">
        <v>0.0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  <c r="AC15" s="19">
        <v>0.0</v>
      </c>
      <c r="AD15" s="19">
        <v>0.0</v>
      </c>
      <c r="AE15" s="19">
        <v>0.0</v>
      </c>
      <c r="AF15" s="19">
        <v>0.0</v>
      </c>
      <c r="AG15" s="19">
        <v>0.0</v>
      </c>
    </row>
    <row r="16" ht="14.25" customHeight="1" outlineLevel="1">
      <c r="A16" s="20"/>
      <c r="B16" s="7" t="s">
        <v>13</v>
      </c>
      <c r="C16" s="19">
        <v>0.0</v>
      </c>
      <c r="D16" s="19">
        <v>0.0</v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19">
        <v>0.0</v>
      </c>
      <c r="P16" s="19">
        <v>0.0</v>
      </c>
      <c r="Q16" s="19">
        <v>0.0</v>
      </c>
      <c r="R16" s="19">
        <v>0.0</v>
      </c>
      <c r="S16" s="19">
        <v>0.0</v>
      </c>
      <c r="T16" s="19">
        <v>0.0</v>
      </c>
      <c r="U16" s="19">
        <v>0.0</v>
      </c>
      <c r="V16" s="19">
        <v>0.0</v>
      </c>
      <c r="W16" s="19">
        <v>0.0</v>
      </c>
      <c r="X16" s="19">
        <v>0.0</v>
      </c>
      <c r="Y16" s="19">
        <v>0.0</v>
      </c>
      <c r="Z16" s="19">
        <v>0.0</v>
      </c>
      <c r="AA16" s="19">
        <v>0.0</v>
      </c>
      <c r="AB16" s="19">
        <v>0.0</v>
      </c>
      <c r="AC16" s="19">
        <v>0.0</v>
      </c>
      <c r="AD16" s="19">
        <v>0.0</v>
      </c>
      <c r="AE16" s="19">
        <v>0.0</v>
      </c>
      <c r="AF16" s="19">
        <v>0.0</v>
      </c>
      <c r="AG16" s="19">
        <v>0.0</v>
      </c>
    </row>
    <row r="17" ht="14.25" customHeight="1" outlineLevel="1">
      <c r="A17" s="20"/>
      <c r="B17" s="7" t="s">
        <v>14</v>
      </c>
      <c r="C17" s="19">
        <v>0.0</v>
      </c>
      <c r="D17" s="19">
        <v>0.0</v>
      </c>
      <c r="E17" s="19">
        <v>0.0</v>
      </c>
      <c r="F17" s="19">
        <v>0.0</v>
      </c>
      <c r="G17" s="19">
        <v>0.0</v>
      </c>
      <c r="H17" s="19">
        <v>0.0</v>
      </c>
      <c r="I17" s="19">
        <v>0.0</v>
      </c>
      <c r="J17" s="19">
        <v>0.0</v>
      </c>
      <c r="K17" s="19">
        <v>0.0</v>
      </c>
      <c r="L17" s="19">
        <v>0.0</v>
      </c>
      <c r="M17" s="19">
        <v>0.0</v>
      </c>
      <c r="N17" s="19">
        <v>0.0</v>
      </c>
      <c r="O17" s="19">
        <v>0.0</v>
      </c>
      <c r="P17" s="19">
        <v>0.0</v>
      </c>
      <c r="Q17" s="19">
        <v>0.0</v>
      </c>
      <c r="R17" s="19">
        <v>0.0</v>
      </c>
      <c r="S17" s="19">
        <v>0.0</v>
      </c>
      <c r="T17" s="19">
        <v>0.0</v>
      </c>
      <c r="U17" s="53">
        <v>0.0</v>
      </c>
      <c r="V17" s="19">
        <v>0.0</v>
      </c>
      <c r="W17" s="19">
        <v>0.0</v>
      </c>
      <c r="X17" s="19">
        <v>0.0</v>
      </c>
      <c r="Y17" s="19">
        <v>0.0</v>
      </c>
      <c r="Z17" s="19">
        <v>0.0</v>
      </c>
      <c r="AA17" s="19">
        <v>0.0</v>
      </c>
      <c r="AB17" s="19">
        <v>0.0</v>
      </c>
      <c r="AC17" s="19">
        <v>0.0</v>
      </c>
      <c r="AD17" s="19">
        <v>0.0</v>
      </c>
      <c r="AE17" s="19">
        <v>0.0</v>
      </c>
      <c r="AF17" s="19">
        <v>0.0</v>
      </c>
      <c r="AG17" s="19">
        <v>0.0</v>
      </c>
    </row>
    <row r="18" ht="14.25" customHeight="1" outlineLevel="1">
      <c r="A18" s="20"/>
      <c r="B18" s="19" t="s">
        <v>15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19">
        <v>0.0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19">
        <v>0.0</v>
      </c>
      <c r="S18" s="19">
        <v>0.0</v>
      </c>
      <c r="T18" s="19">
        <v>0.0</v>
      </c>
      <c r="U18" s="19">
        <v>0.0</v>
      </c>
      <c r="V18" s="19">
        <v>0.0</v>
      </c>
      <c r="W18" s="19">
        <v>0.0</v>
      </c>
      <c r="X18" s="19">
        <v>0.0</v>
      </c>
      <c r="Y18" s="19">
        <v>0.0</v>
      </c>
      <c r="Z18" s="19">
        <v>0.0</v>
      </c>
      <c r="AA18" s="19">
        <v>0.0</v>
      </c>
      <c r="AB18" s="19">
        <v>0.0</v>
      </c>
      <c r="AC18" s="19">
        <v>0.0</v>
      </c>
      <c r="AD18" s="19">
        <v>0.0</v>
      </c>
      <c r="AE18" s="19">
        <v>0.0</v>
      </c>
      <c r="AF18" s="19">
        <v>0.0</v>
      </c>
      <c r="AG18" s="19">
        <v>0.0</v>
      </c>
    </row>
    <row r="19" ht="14.25" customHeight="1" outlineLevel="1">
      <c r="A19" s="20"/>
      <c r="B19" s="19" t="s">
        <v>16</v>
      </c>
      <c r="C19" s="19">
        <v>0.0</v>
      </c>
      <c r="D19" s="19">
        <v>0.0</v>
      </c>
      <c r="E19" s="19">
        <v>0.0</v>
      </c>
      <c r="F19" s="19">
        <v>0.0</v>
      </c>
      <c r="G19" s="19">
        <v>0.0</v>
      </c>
      <c r="H19" s="19">
        <v>0.0</v>
      </c>
      <c r="I19" s="19">
        <v>0.0</v>
      </c>
      <c r="J19" s="19">
        <v>0.0</v>
      </c>
      <c r="K19" s="19">
        <v>0.0</v>
      </c>
      <c r="L19" s="19">
        <v>0.0</v>
      </c>
      <c r="M19" s="19">
        <v>0.0</v>
      </c>
      <c r="N19" s="19">
        <v>0.0</v>
      </c>
      <c r="O19" s="19">
        <v>0.0</v>
      </c>
      <c r="P19" s="19">
        <v>0.0</v>
      </c>
      <c r="Q19" s="19">
        <v>0.0</v>
      </c>
      <c r="R19" s="19">
        <v>0.0</v>
      </c>
      <c r="S19" s="19">
        <v>0.0</v>
      </c>
      <c r="T19" s="19">
        <v>0.0</v>
      </c>
      <c r="U19" s="19">
        <v>0.0</v>
      </c>
      <c r="V19" s="19">
        <v>0.0</v>
      </c>
      <c r="W19" s="19">
        <v>0.0</v>
      </c>
      <c r="X19" s="19">
        <v>0.0</v>
      </c>
      <c r="Y19" s="19">
        <v>0.0</v>
      </c>
      <c r="Z19" s="19">
        <v>0.0</v>
      </c>
      <c r="AA19" s="19">
        <v>0.0</v>
      </c>
      <c r="AB19" s="19">
        <v>0.0</v>
      </c>
      <c r="AC19" s="19">
        <v>0.0</v>
      </c>
      <c r="AD19" s="19">
        <v>0.0</v>
      </c>
      <c r="AE19" s="19">
        <v>0.0</v>
      </c>
      <c r="AF19" s="19">
        <v>0.0</v>
      </c>
      <c r="AG19" s="19">
        <v>0.0</v>
      </c>
    </row>
    <row r="20" ht="14.25" customHeight="1" outlineLevel="1">
      <c r="A20" s="20"/>
      <c r="B20" s="19" t="s">
        <v>17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19">
        <v>0.0</v>
      </c>
      <c r="S20" s="19">
        <v>0.0</v>
      </c>
      <c r="T20" s="19">
        <v>0.0</v>
      </c>
      <c r="U20" s="19">
        <v>0.0</v>
      </c>
      <c r="V20" s="19">
        <v>0.0</v>
      </c>
      <c r="W20" s="19">
        <v>0.0</v>
      </c>
      <c r="X20" s="19">
        <v>0.0</v>
      </c>
      <c r="Y20" s="19">
        <v>0.0</v>
      </c>
      <c r="Z20" s="19">
        <v>0.0</v>
      </c>
      <c r="AA20" s="19">
        <v>0.0</v>
      </c>
      <c r="AB20" s="19">
        <v>0.0</v>
      </c>
      <c r="AC20" s="19">
        <v>0.0</v>
      </c>
      <c r="AD20" s="19">
        <v>0.0</v>
      </c>
      <c r="AE20" s="19">
        <v>0.0</v>
      </c>
      <c r="AF20" s="19">
        <v>0.0</v>
      </c>
      <c r="AG20" s="19">
        <v>0.0</v>
      </c>
    </row>
    <row r="21" ht="14.25" customHeight="1" outlineLevel="1">
      <c r="A21" s="20"/>
      <c r="B21" s="19" t="s">
        <v>18</v>
      </c>
      <c r="C21" s="19">
        <v>0.0</v>
      </c>
      <c r="D21" s="19">
        <v>0.0</v>
      </c>
      <c r="E21" s="19">
        <v>0.0</v>
      </c>
      <c r="F21" s="19">
        <v>0.0</v>
      </c>
      <c r="G21" s="19">
        <v>0.0</v>
      </c>
      <c r="H21" s="19">
        <v>0.0</v>
      </c>
      <c r="I21" s="19">
        <v>0.0</v>
      </c>
      <c r="J21" s="19">
        <v>0.0</v>
      </c>
      <c r="K21" s="19">
        <v>0.0</v>
      </c>
      <c r="L21" s="19">
        <v>0.0</v>
      </c>
      <c r="M21" s="19">
        <v>0.0</v>
      </c>
      <c r="N21" s="19">
        <v>0.0</v>
      </c>
      <c r="O21" s="19">
        <v>0.0</v>
      </c>
      <c r="P21" s="19">
        <v>0.0</v>
      </c>
      <c r="Q21" s="19">
        <v>0.0</v>
      </c>
      <c r="R21" s="19">
        <v>0.0</v>
      </c>
      <c r="S21" s="19">
        <v>0.0</v>
      </c>
      <c r="T21" s="19">
        <v>0.0</v>
      </c>
      <c r="U21" s="19">
        <v>0.0</v>
      </c>
      <c r="V21" s="19">
        <v>0.0</v>
      </c>
      <c r="W21" s="19">
        <v>0.0</v>
      </c>
      <c r="X21" s="19">
        <v>0.0</v>
      </c>
      <c r="Y21" s="19">
        <v>0.0</v>
      </c>
      <c r="Z21" s="19">
        <v>0.0</v>
      </c>
      <c r="AA21" s="19">
        <v>0.0</v>
      </c>
      <c r="AB21" s="19">
        <v>0.0</v>
      </c>
      <c r="AC21" s="19">
        <v>0.0</v>
      </c>
      <c r="AD21" s="19">
        <v>0.0</v>
      </c>
      <c r="AE21" s="19">
        <v>0.0</v>
      </c>
      <c r="AF21" s="19">
        <v>0.0</v>
      </c>
      <c r="AG21" s="19">
        <v>0.0</v>
      </c>
    </row>
    <row r="22" ht="14.25" customHeight="1" outlineLevel="1">
      <c r="A22" s="20"/>
      <c r="B22" s="19" t="s">
        <v>19</v>
      </c>
      <c r="C22" s="19">
        <v>0.0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</row>
    <row r="23" ht="14.25" customHeight="1" outlineLevel="1">
      <c r="A23" s="20"/>
      <c r="B23" s="7" t="s">
        <v>20</v>
      </c>
      <c r="C23" s="19">
        <v>0.0</v>
      </c>
      <c r="D23" s="19">
        <v>0.0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</row>
    <row r="24" ht="14.25" customHeight="1" outlineLevel="1">
      <c r="A24" s="20"/>
      <c r="B24" s="19" t="s">
        <v>66</v>
      </c>
      <c r="C24" s="19">
        <v>0.0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>
        <v>0.0</v>
      </c>
      <c r="M24" s="19">
        <v>0.0</v>
      </c>
      <c r="N24" s="19">
        <v>0.0</v>
      </c>
      <c r="O24" s="19">
        <v>0.0</v>
      </c>
      <c r="P24" s="19">
        <v>0.0</v>
      </c>
      <c r="Q24" s="19">
        <v>0.0</v>
      </c>
      <c r="R24" s="19">
        <v>0.0</v>
      </c>
      <c r="S24" s="19">
        <v>0.0</v>
      </c>
      <c r="T24" s="19">
        <v>0.0</v>
      </c>
      <c r="U24" s="53">
        <v>0.0</v>
      </c>
      <c r="V24" s="19">
        <v>0.0</v>
      </c>
      <c r="W24" s="19">
        <v>0.0</v>
      </c>
      <c r="X24" s="19">
        <v>0.0</v>
      </c>
      <c r="Y24" s="19">
        <v>0.0</v>
      </c>
      <c r="Z24" s="19">
        <v>0.0</v>
      </c>
      <c r="AA24" s="19">
        <v>0.0</v>
      </c>
      <c r="AB24" s="19">
        <v>0.0</v>
      </c>
      <c r="AC24" s="19">
        <v>0.0</v>
      </c>
      <c r="AD24" s="19">
        <v>0.0</v>
      </c>
      <c r="AE24" s="19">
        <v>0.0</v>
      </c>
      <c r="AF24" s="19">
        <v>0.0</v>
      </c>
      <c r="AG24" s="19">
        <v>0.0</v>
      </c>
    </row>
    <row r="25" ht="14.25" customHeight="1">
      <c r="A25" s="20"/>
      <c r="B25" s="7" t="s">
        <v>21</v>
      </c>
      <c r="C25" s="19">
        <v>0.0</v>
      </c>
      <c r="D25" s="19">
        <v>0.0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0.0</v>
      </c>
      <c r="W25" s="19">
        <v>0.0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>
        <v>0.0</v>
      </c>
      <c r="AD25" s="19">
        <v>0.0</v>
      </c>
      <c r="AE25" s="19">
        <v>0.0</v>
      </c>
      <c r="AF25" s="19">
        <v>0.0</v>
      </c>
      <c r="AG25" s="19">
        <v>0.0</v>
      </c>
    </row>
    <row r="26" ht="14.25" customHeight="1">
      <c r="A26" s="20"/>
      <c r="B26" s="7" t="s">
        <v>22</v>
      </c>
      <c r="C26" s="19">
        <v>0.0</v>
      </c>
      <c r="D26" s="19">
        <v>0.0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0.0</v>
      </c>
      <c r="AD26" s="19">
        <v>0.0</v>
      </c>
      <c r="AE26" s="19">
        <v>0.0</v>
      </c>
      <c r="AF26" s="19">
        <v>0.0</v>
      </c>
      <c r="AG26" s="19">
        <v>0.0</v>
      </c>
    </row>
    <row r="27" ht="14.25" customHeight="1">
      <c r="A27" s="20"/>
      <c r="B27" s="7" t="s">
        <v>23</v>
      </c>
      <c r="C27" s="19">
        <v>0.0</v>
      </c>
      <c r="D27" s="19">
        <v>0.0</v>
      </c>
      <c r="E27" s="19">
        <v>0.0</v>
      </c>
      <c r="F27" s="19">
        <v>0.0</v>
      </c>
      <c r="G27" s="19">
        <v>0.0</v>
      </c>
      <c r="H27" s="19">
        <v>0.0</v>
      </c>
      <c r="I27" s="19">
        <v>0.0</v>
      </c>
      <c r="J27" s="19">
        <v>0.0</v>
      </c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  <c r="W27" s="19">
        <v>0.0</v>
      </c>
      <c r="X27" s="19">
        <v>0.0</v>
      </c>
      <c r="Y27" s="19">
        <v>0.0</v>
      </c>
      <c r="Z27" s="19">
        <v>0.0</v>
      </c>
      <c r="AA27" s="19">
        <v>0.0</v>
      </c>
      <c r="AB27" s="19">
        <v>0.0</v>
      </c>
      <c r="AC27" s="19">
        <v>0.0</v>
      </c>
      <c r="AD27" s="19">
        <v>0.0</v>
      </c>
      <c r="AE27" s="19">
        <v>0.0</v>
      </c>
      <c r="AF27" s="19">
        <v>0.0</v>
      </c>
      <c r="AG27" s="19">
        <v>0.0</v>
      </c>
    </row>
    <row r="28" ht="14.25" customHeight="1">
      <c r="A28" s="23"/>
      <c r="B28" s="24" t="s">
        <v>24</v>
      </c>
      <c r="C28" s="24">
        <f t="shared" ref="C28:AG28" si="5">SUM(C7:C27)</f>
        <v>0</v>
      </c>
      <c r="D28" s="24">
        <f t="shared" si="5"/>
        <v>0</v>
      </c>
      <c r="E28" s="24">
        <f t="shared" si="5"/>
        <v>0</v>
      </c>
      <c r="F28" s="24">
        <f t="shared" si="5"/>
        <v>0</v>
      </c>
      <c r="G28" s="24">
        <f t="shared" si="5"/>
        <v>0</v>
      </c>
      <c r="H28" s="24">
        <f t="shared" si="5"/>
        <v>0</v>
      </c>
      <c r="I28" s="24">
        <f t="shared" si="5"/>
        <v>0</v>
      </c>
      <c r="J28" s="24">
        <f t="shared" si="5"/>
        <v>0</v>
      </c>
      <c r="K28" s="24">
        <f t="shared" si="5"/>
        <v>0</v>
      </c>
      <c r="L28" s="24">
        <f t="shared" si="5"/>
        <v>0</v>
      </c>
      <c r="M28" s="24">
        <f t="shared" si="5"/>
        <v>0</v>
      </c>
      <c r="N28" s="24">
        <f t="shared" si="5"/>
        <v>0</v>
      </c>
      <c r="O28" s="24">
        <f t="shared" si="5"/>
        <v>0</v>
      </c>
      <c r="P28" s="24">
        <f t="shared" si="5"/>
        <v>0</v>
      </c>
      <c r="Q28" s="24">
        <f t="shared" si="5"/>
        <v>0</v>
      </c>
      <c r="R28" s="24">
        <f t="shared" si="5"/>
        <v>0</v>
      </c>
      <c r="S28" s="24">
        <f t="shared" si="5"/>
        <v>0</v>
      </c>
      <c r="T28" s="24">
        <f t="shared" si="5"/>
        <v>0</v>
      </c>
      <c r="U28" s="24">
        <f t="shared" si="5"/>
        <v>0</v>
      </c>
      <c r="V28" s="24">
        <f t="shared" si="5"/>
        <v>0</v>
      </c>
      <c r="W28" s="24">
        <f t="shared" si="5"/>
        <v>0</v>
      </c>
      <c r="X28" s="24">
        <f t="shared" si="5"/>
        <v>0</v>
      </c>
      <c r="Y28" s="24">
        <f t="shared" si="5"/>
        <v>0</v>
      </c>
      <c r="Z28" s="24">
        <f t="shared" si="5"/>
        <v>0</v>
      </c>
      <c r="AA28" s="24">
        <f t="shared" si="5"/>
        <v>0</v>
      </c>
      <c r="AB28" s="24">
        <f t="shared" si="5"/>
        <v>0</v>
      </c>
      <c r="AC28" s="24">
        <f t="shared" si="5"/>
        <v>0</v>
      </c>
      <c r="AD28" s="24">
        <f t="shared" si="5"/>
        <v>0</v>
      </c>
      <c r="AE28" s="24">
        <f t="shared" si="5"/>
        <v>0</v>
      </c>
      <c r="AF28" s="24">
        <f t="shared" si="5"/>
        <v>0</v>
      </c>
      <c r="AG28" s="24">
        <f t="shared" si="5"/>
        <v>0</v>
      </c>
    </row>
    <row r="29" ht="14.25" customHeight="1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4.25" customHeight="1">
      <c r="A30" s="25"/>
      <c r="B30" s="17" t="s">
        <v>25</v>
      </c>
      <c r="C30" s="26">
        <v>0.0</v>
      </c>
      <c r="D30" s="26">
        <v>0.0</v>
      </c>
      <c r="E30" s="26">
        <v>0.0</v>
      </c>
      <c r="F30" s="26">
        <v>0.0</v>
      </c>
      <c r="G30" s="26">
        <v>0.0</v>
      </c>
      <c r="H30" s="26">
        <v>0.0</v>
      </c>
      <c r="I30" s="26">
        <v>0.0</v>
      </c>
      <c r="J30" s="26">
        <v>0.0</v>
      </c>
      <c r="K30" s="26">
        <v>0.0</v>
      </c>
      <c r="L30" s="26">
        <v>0.0</v>
      </c>
      <c r="M30" s="26">
        <v>0.0</v>
      </c>
      <c r="N30" s="26">
        <v>0.0</v>
      </c>
      <c r="O30" s="26">
        <v>0.0</v>
      </c>
      <c r="P30" s="26">
        <v>0.0</v>
      </c>
      <c r="Q30" s="26">
        <v>0.0</v>
      </c>
      <c r="R30" s="26">
        <v>0.0</v>
      </c>
      <c r="S30" s="26">
        <v>0.0</v>
      </c>
      <c r="T30" s="26">
        <v>0.0</v>
      </c>
      <c r="U30" s="26">
        <v>0.0</v>
      </c>
      <c r="V30" s="26">
        <v>0.0</v>
      </c>
      <c r="W30" s="26">
        <v>0.0</v>
      </c>
      <c r="X30" s="26">
        <v>0.0</v>
      </c>
      <c r="Y30" s="26">
        <v>0.0</v>
      </c>
      <c r="Z30" s="26">
        <v>0.0</v>
      </c>
      <c r="AA30" s="26">
        <v>0.0</v>
      </c>
      <c r="AB30" s="26">
        <v>0.0</v>
      </c>
      <c r="AC30" s="26">
        <v>0.0</v>
      </c>
      <c r="AD30" s="26">
        <v>0.0</v>
      </c>
      <c r="AE30" s="26">
        <v>0.0</v>
      </c>
      <c r="AF30" s="26">
        <v>0.0</v>
      </c>
      <c r="AG30" s="26">
        <v>0.0</v>
      </c>
    </row>
    <row r="31" ht="14.25" customHeight="1" outlineLevel="1">
      <c r="A31" s="27" t="s">
        <v>26</v>
      </c>
      <c r="B31" s="19" t="s">
        <v>67</v>
      </c>
      <c r="C31" s="21">
        <v>0.0</v>
      </c>
      <c r="D31" s="21">
        <v>0.0</v>
      </c>
      <c r="E31" s="21">
        <v>0.0</v>
      </c>
      <c r="F31" s="21">
        <v>0.0</v>
      </c>
      <c r="G31" s="21">
        <v>0.0</v>
      </c>
      <c r="H31" s="21">
        <v>0.0</v>
      </c>
      <c r="I31" s="21">
        <v>0.0</v>
      </c>
      <c r="J31" s="21">
        <v>0.0</v>
      </c>
      <c r="K31" s="21">
        <v>0.0</v>
      </c>
      <c r="L31" s="21">
        <v>0.0</v>
      </c>
      <c r="M31" s="21">
        <v>0.0</v>
      </c>
      <c r="N31" s="21">
        <v>0.0</v>
      </c>
      <c r="O31" s="21">
        <v>0.0</v>
      </c>
      <c r="P31" s="21">
        <v>0.0</v>
      </c>
      <c r="Q31" s="21">
        <v>0.0</v>
      </c>
      <c r="R31" s="21">
        <v>0.0</v>
      </c>
      <c r="S31" s="21">
        <v>0.0</v>
      </c>
      <c r="T31" s="21">
        <v>0.0</v>
      </c>
      <c r="U31" s="52">
        <v>0.0</v>
      </c>
      <c r="V31" s="21">
        <v>0.0</v>
      </c>
      <c r="W31" s="21">
        <v>0.0</v>
      </c>
      <c r="X31" s="21">
        <v>0.0</v>
      </c>
      <c r="Y31" s="21">
        <v>0.0</v>
      </c>
      <c r="Z31" s="21">
        <v>0.0</v>
      </c>
      <c r="AA31" s="21">
        <v>0.0</v>
      </c>
      <c r="AB31" s="21">
        <v>0.0</v>
      </c>
      <c r="AC31" s="21">
        <v>0.0</v>
      </c>
      <c r="AD31" s="21">
        <v>0.0</v>
      </c>
      <c r="AE31" s="21">
        <v>0.0</v>
      </c>
      <c r="AF31" s="21">
        <v>0.0</v>
      </c>
      <c r="AG31" s="21">
        <v>0.0</v>
      </c>
    </row>
    <row r="32" ht="14.25" customHeight="1" outlineLevel="1">
      <c r="A32" s="20"/>
      <c r="B32" s="7" t="s">
        <v>28</v>
      </c>
      <c r="C32" s="21">
        <v>0.0</v>
      </c>
      <c r="D32" s="21">
        <v>0.0</v>
      </c>
      <c r="E32" s="21">
        <v>0.0</v>
      </c>
      <c r="F32" s="21">
        <v>0.0</v>
      </c>
      <c r="G32" s="21">
        <v>0.0</v>
      </c>
      <c r="H32" s="21">
        <v>0.0</v>
      </c>
      <c r="I32" s="21">
        <v>0.0</v>
      </c>
      <c r="J32" s="21">
        <v>0.0</v>
      </c>
      <c r="K32" s="21">
        <v>0.0</v>
      </c>
      <c r="L32" s="21">
        <v>0.0</v>
      </c>
      <c r="M32" s="21">
        <v>0.0</v>
      </c>
      <c r="N32" s="21">
        <v>0.0</v>
      </c>
      <c r="O32" s="21">
        <v>0.0</v>
      </c>
      <c r="P32" s="21">
        <v>0.0</v>
      </c>
      <c r="Q32" s="21">
        <v>0.0</v>
      </c>
      <c r="R32" s="21">
        <v>0.0</v>
      </c>
      <c r="S32" s="21">
        <v>0.0</v>
      </c>
      <c r="T32" s="21">
        <v>0.0</v>
      </c>
      <c r="U32" s="21">
        <v>0.0</v>
      </c>
      <c r="V32" s="21">
        <v>0.0</v>
      </c>
      <c r="W32" s="21">
        <v>0.0</v>
      </c>
      <c r="X32" s="21">
        <v>0.0</v>
      </c>
      <c r="Y32" s="21">
        <v>0.0</v>
      </c>
      <c r="Z32" s="21">
        <v>0.0</v>
      </c>
      <c r="AA32" s="21">
        <v>0.0</v>
      </c>
      <c r="AB32" s="21">
        <v>0.0</v>
      </c>
      <c r="AC32" s="21">
        <v>0.0</v>
      </c>
      <c r="AD32" s="21">
        <v>0.0</v>
      </c>
      <c r="AE32" s="21">
        <v>0.0</v>
      </c>
      <c r="AF32" s="21">
        <v>0.0</v>
      </c>
      <c r="AG32" s="21">
        <v>0.0</v>
      </c>
    </row>
    <row r="33" ht="14.25" customHeight="1" outlineLevel="1">
      <c r="A33" s="20"/>
      <c r="B33" s="7" t="s">
        <v>29</v>
      </c>
      <c r="C33" s="21">
        <v>0.0</v>
      </c>
      <c r="D33" s="21">
        <v>0.0</v>
      </c>
      <c r="E33" s="21">
        <v>0.0</v>
      </c>
      <c r="F33" s="21">
        <v>0.0</v>
      </c>
      <c r="G33" s="21">
        <v>0.0</v>
      </c>
      <c r="H33" s="21">
        <v>0.0</v>
      </c>
      <c r="I33" s="21">
        <v>0.0</v>
      </c>
      <c r="J33" s="21">
        <v>0.0</v>
      </c>
      <c r="K33" s="21">
        <v>0.0</v>
      </c>
      <c r="L33" s="21">
        <v>0.0</v>
      </c>
      <c r="M33" s="21">
        <v>0.0</v>
      </c>
      <c r="N33" s="21">
        <v>0.0</v>
      </c>
      <c r="O33" s="21">
        <v>0.0</v>
      </c>
      <c r="P33" s="21">
        <v>0.0</v>
      </c>
      <c r="Q33" s="21">
        <v>0.0</v>
      </c>
      <c r="R33" s="21">
        <v>0.0</v>
      </c>
      <c r="S33" s="21">
        <v>0.0</v>
      </c>
      <c r="T33" s="21">
        <v>0.0</v>
      </c>
      <c r="U33" s="21">
        <v>0.0</v>
      </c>
      <c r="V33" s="21">
        <v>0.0</v>
      </c>
      <c r="W33" s="21">
        <v>0.0</v>
      </c>
      <c r="X33" s="21">
        <v>0.0</v>
      </c>
      <c r="Y33" s="21">
        <v>0.0</v>
      </c>
      <c r="Z33" s="21">
        <v>0.0</v>
      </c>
      <c r="AA33" s="21">
        <v>0.0</v>
      </c>
      <c r="AB33" s="21">
        <v>0.0</v>
      </c>
      <c r="AC33" s="21">
        <v>0.0</v>
      </c>
      <c r="AD33" s="21">
        <v>0.0</v>
      </c>
      <c r="AE33" s="21">
        <v>0.0</v>
      </c>
      <c r="AF33" s="21">
        <v>0.0</v>
      </c>
      <c r="AG33" s="21">
        <v>0.0</v>
      </c>
    </row>
    <row r="34" ht="14.25" customHeight="1" outlineLevel="1">
      <c r="A34" s="20"/>
      <c r="B34" s="19" t="s">
        <v>68</v>
      </c>
      <c r="C34" s="21">
        <v>0.0</v>
      </c>
      <c r="D34" s="21">
        <v>0.0</v>
      </c>
      <c r="E34" s="21">
        <v>0.0</v>
      </c>
      <c r="F34" s="21">
        <v>0.0</v>
      </c>
      <c r="G34" s="21">
        <v>0.0</v>
      </c>
      <c r="H34" s="21">
        <v>0.0</v>
      </c>
      <c r="I34" s="21">
        <v>0.0</v>
      </c>
      <c r="J34" s="21">
        <v>0.0</v>
      </c>
      <c r="K34" s="21">
        <v>0.0</v>
      </c>
      <c r="L34" s="21">
        <v>0.0</v>
      </c>
      <c r="M34" s="21">
        <v>0.0</v>
      </c>
      <c r="N34" s="21">
        <v>0.0</v>
      </c>
      <c r="O34" s="21">
        <v>0.0</v>
      </c>
      <c r="P34" s="21">
        <v>0.0</v>
      </c>
      <c r="Q34" s="21">
        <v>0.0</v>
      </c>
      <c r="R34" s="21">
        <v>0.0</v>
      </c>
      <c r="S34" s="21">
        <v>0.0</v>
      </c>
      <c r="T34" s="21">
        <v>0.0</v>
      </c>
      <c r="U34" s="21">
        <v>0.0</v>
      </c>
      <c r="V34" s="21">
        <v>0.0</v>
      </c>
      <c r="W34" s="21">
        <v>0.0</v>
      </c>
      <c r="X34" s="21">
        <v>0.0</v>
      </c>
      <c r="Y34" s="21">
        <v>0.0</v>
      </c>
      <c r="Z34" s="21">
        <v>0.0</v>
      </c>
      <c r="AA34" s="21">
        <v>0.0</v>
      </c>
      <c r="AB34" s="21">
        <v>0.0</v>
      </c>
      <c r="AC34" s="21">
        <v>0.0</v>
      </c>
      <c r="AD34" s="21">
        <v>0.0</v>
      </c>
      <c r="AE34" s="21">
        <v>0.0</v>
      </c>
      <c r="AF34" s="21">
        <v>0.0</v>
      </c>
      <c r="AG34" s="21">
        <v>0.0</v>
      </c>
    </row>
    <row r="35" ht="14.25" customHeight="1" outlineLevel="1">
      <c r="A35" s="20"/>
      <c r="B35" s="7" t="s">
        <v>31</v>
      </c>
      <c r="C35" s="21">
        <v>0.0</v>
      </c>
      <c r="D35" s="21">
        <v>0.0</v>
      </c>
      <c r="E35" s="21">
        <v>0.0</v>
      </c>
      <c r="F35" s="21">
        <v>0.0</v>
      </c>
      <c r="G35" s="21">
        <v>0.0</v>
      </c>
      <c r="H35" s="21">
        <v>0.0</v>
      </c>
      <c r="I35" s="21">
        <v>0.0</v>
      </c>
      <c r="J35" s="21">
        <v>0.0</v>
      </c>
      <c r="K35" s="21">
        <v>0.0</v>
      </c>
      <c r="L35" s="21">
        <v>0.0</v>
      </c>
      <c r="M35" s="21">
        <v>0.0</v>
      </c>
      <c r="N35" s="21">
        <v>0.0</v>
      </c>
      <c r="O35" s="21">
        <v>0.0</v>
      </c>
      <c r="P35" s="21">
        <v>0.0</v>
      </c>
      <c r="Q35" s="21">
        <v>0.0</v>
      </c>
      <c r="R35" s="21">
        <v>0.0</v>
      </c>
      <c r="S35" s="21">
        <v>0.0</v>
      </c>
      <c r="T35" s="21">
        <v>0.0</v>
      </c>
      <c r="U35" s="21">
        <v>0.0</v>
      </c>
      <c r="V35" s="21">
        <v>0.0</v>
      </c>
      <c r="W35" s="21">
        <v>0.0</v>
      </c>
      <c r="X35" s="21">
        <v>0.0</v>
      </c>
      <c r="Y35" s="21">
        <v>0.0</v>
      </c>
      <c r="Z35" s="21">
        <v>0.0</v>
      </c>
      <c r="AA35" s="21">
        <v>0.0</v>
      </c>
      <c r="AB35" s="21">
        <v>0.0</v>
      </c>
      <c r="AC35" s="21">
        <v>0.0</v>
      </c>
      <c r="AD35" s="21">
        <v>0.0</v>
      </c>
      <c r="AE35" s="21">
        <v>0.0</v>
      </c>
      <c r="AF35" s="21">
        <v>0.0</v>
      </c>
      <c r="AG35" s="21">
        <v>0.0</v>
      </c>
    </row>
    <row r="36" ht="14.25" customHeight="1" outlineLevel="1">
      <c r="A36" s="20"/>
      <c r="B36" s="7" t="s">
        <v>32</v>
      </c>
      <c r="C36" s="21">
        <v>0.0</v>
      </c>
      <c r="D36" s="21">
        <v>0.0</v>
      </c>
      <c r="E36" s="21">
        <v>0.0</v>
      </c>
      <c r="F36" s="21">
        <v>0.0</v>
      </c>
      <c r="G36" s="21">
        <v>0.0</v>
      </c>
      <c r="H36" s="21">
        <v>0.0</v>
      </c>
      <c r="I36" s="21">
        <v>0.0</v>
      </c>
      <c r="J36" s="21">
        <v>0.0</v>
      </c>
      <c r="K36" s="21">
        <v>0.0</v>
      </c>
      <c r="L36" s="21">
        <v>0.0</v>
      </c>
      <c r="M36" s="21">
        <v>0.0</v>
      </c>
      <c r="N36" s="21">
        <v>0.0</v>
      </c>
      <c r="O36" s="21">
        <v>0.0</v>
      </c>
      <c r="P36" s="21">
        <v>0.0</v>
      </c>
      <c r="Q36" s="21">
        <v>0.0</v>
      </c>
      <c r="R36" s="21">
        <v>0.0</v>
      </c>
      <c r="S36" s="21">
        <v>0.0</v>
      </c>
      <c r="T36" s="21">
        <v>0.0</v>
      </c>
      <c r="U36" s="21">
        <v>0.0</v>
      </c>
      <c r="V36" s="21">
        <v>0.0</v>
      </c>
      <c r="W36" s="21">
        <v>0.0</v>
      </c>
      <c r="X36" s="21">
        <v>0.0</v>
      </c>
      <c r="Y36" s="21">
        <v>0.0</v>
      </c>
      <c r="Z36" s="21">
        <v>0.0</v>
      </c>
      <c r="AA36" s="21">
        <v>0.0</v>
      </c>
      <c r="AB36" s="21">
        <v>0.0</v>
      </c>
      <c r="AC36" s="21">
        <v>0.0</v>
      </c>
      <c r="AD36" s="21">
        <v>0.0</v>
      </c>
      <c r="AE36" s="21">
        <v>0.0</v>
      </c>
      <c r="AF36" s="21">
        <v>0.0</v>
      </c>
      <c r="AG36" s="21">
        <v>0.0</v>
      </c>
    </row>
    <row r="37" ht="14.25" customHeight="1" outlineLevel="1">
      <c r="A37" s="20"/>
      <c r="B37" s="19" t="s">
        <v>33</v>
      </c>
      <c r="C37" s="21">
        <v>0.0</v>
      </c>
      <c r="D37" s="21">
        <v>0.0</v>
      </c>
      <c r="E37" s="21">
        <v>0.0</v>
      </c>
      <c r="F37" s="21">
        <v>0.0</v>
      </c>
      <c r="G37" s="21">
        <v>0.0</v>
      </c>
      <c r="H37" s="21">
        <v>0.0</v>
      </c>
      <c r="I37" s="21">
        <v>0.0</v>
      </c>
      <c r="J37" s="21">
        <v>0.0</v>
      </c>
      <c r="K37" s="21">
        <v>0.0</v>
      </c>
      <c r="L37" s="21">
        <v>0.0</v>
      </c>
      <c r="M37" s="21">
        <v>0.0</v>
      </c>
      <c r="N37" s="21">
        <v>0.0</v>
      </c>
      <c r="O37" s="21">
        <v>0.0</v>
      </c>
      <c r="P37" s="21">
        <v>0.0</v>
      </c>
      <c r="Q37" s="21">
        <v>0.0</v>
      </c>
      <c r="R37" s="21">
        <v>0.0</v>
      </c>
      <c r="S37" s="21">
        <v>0.0</v>
      </c>
      <c r="T37" s="21">
        <v>0.0</v>
      </c>
      <c r="U37" s="21">
        <v>0.0</v>
      </c>
      <c r="V37" s="21">
        <v>0.0</v>
      </c>
      <c r="W37" s="21">
        <v>0.0</v>
      </c>
      <c r="X37" s="21">
        <v>0.0</v>
      </c>
      <c r="Y37" s="21">
        <v>0.0</v>
      </c>
      <c r="Z37" s="21">
        <v>0.0</v>
      </c>
      <c r="AA37" s="21">
        <v>0.0</v>
      </c>
      <c r="AB37" s="21">
        <v>0.0</v>
      </c>
      <c r="AC37" s="21">
        <v>0.0</v>
      </c>
      <c r="AD37" s="21">
        <v>0.0</v>
      </c>
      <c r="AE37" s="21">
        <v>0.0</v>
      </c>
      <c r="AF37" s="21">
        <v>0.0</v>
      </c>
      <c r="AG37" s="21">
        <v>0.0</v>
      </c>
    </row>
    <row r="38" ht="14.25" customHeight="1" outlineLevel="1">
      <c r="A38" s="20"/>
      <c r="B38" s="7" t="s">
        <v>34</v>
      </c>
      <c r="C38" s="21">
        <v>0.0</v>
      </c>
      <c r="D38" s="21">
        <v>0.0</v>
      </c>
      <c r="E38" s="21">
        <v>0.0</v>
      </c>
      <c r="F38" s="21">
        <v>0.0</v>
      </c>
      <c r="G38" s="21">
        <v>0.0</v>
      </c>
      <c r="H38" s="21">
        <v>0.0</v>
      </c>
      <c r="I38" s="21">
        <v>0.0</v>
      </c>
      <c r="J38" s="21">
        <v>0.0</v>
      </c>
      <c r="K38" s="21">
        <v>0.0</v>
      </c>
      <c r="L38" s="21">
        <v>0.0</v>
      </c>
      <c r="M38" s="21">
        <v>0.0</v>
      </c>
      <c r="N38" s="21">
        <v>0.0</v>
      </c>
      <c r="O38" s="21">
        <v>0.0</v>
      </c>
      <c r="P38" s="21">
        <v>0.0</v>
      </c>
      <c r="Q38" s="21">
        <v>0.0</v>
      </c>
      <c r="R38" s="21">
        <v>0.0</v>
      </c>
      <c r="S38" s="21">
        <v>0.0</v>
      </c>
      <c r="T38" s="21">
        <v>0.0</v>
      </c>
      <c r="U38" s="21">
        <v>0.0</v>
      </c>
      <c r="V38" s="21">
        <v>0.0</v>
      </c>
      <c r="W38" s="21">
        <v>0.0</v>
      </c>
      <c r="X38" s="21">
        <v>0.0</v>
      </c>
      <c r="Y38" s="21">
        <v>0.0</v>
      </c>
      <c r="Z38" s="21">
        <v>0.0</v>
      </c>
      <c r="AA38" s="21">
        <v>0.0</v>
      </c>
      <c r="AB38" s="21">
        <v>0.0</v>
      </c>
      <c r="AC38" s="21">
        <v>0.0</v>
      </c>
      <c r="AD38" s="21">
        <v>0.0</v>
      </c>
      <c r="AE38" s="21">
        <v>0.0</v>
      </c>
      <c r="AF38" s="21">
        <v>0.0</v>
      </c>
      <c r="AG38" s="21">
        <v>0.0</v>
      </c>
    </row>
    <row r="39" ht="14.25" customHeight="1" outlineLevel="1">
      <c r="A39" s="20"/>
      <c r="B39" s="19" t="s">
        <v>37</v>
      </c>
      <c r="C39" s="21">
        <v>0.0</v>
      </c>
      <c r="D39" s="21">
        <v>0.0</v>
      </c>
      <c r="E39" s="21">
        <v>0.0</v>
      </c>
      <c r="F39" s="21">
        <v>0.0</v>
      </c>
      <c r="G39" s="21">
        <v>0.0</v>
      </c>
      <c r="H39" s="21">
        <v>0.0</v>
      </c>
      <c r="I39" s="21">
        <v>0.0</v>
      </c>
      <c r="J39" s="21">
        <v>0.0</v>
      </c>
      <c r="K39" s="21">
        <v>0.0</v>
      </c>
      <c r="L39" s="21">
        <v>0.0</v>
      </c>
      <c r="M39" s="21">
        <v>0.0</v>
      </c>
      <c r="N39" s="21">
        <v>0.0</v>
      </c>
      <c r="O39" s="21">
        <v>0.0</v>
      </c>
      <c r="P39" s="21">
        <v>0.0</v>
      </c>
      <c r="Q39" s="21">
        <v>0.0</v>
      </c>
      <c r="R39" s="21">
        <v>0.0</v>
      </c>
      <c r="S39" s="21">
        <v>0.0</v>
      </c>
      <c r="T39" s="21">
        <v>0.0</v>
      </c>
      <c r="U39" s="21">
        <v>0.0</v>
      </c>
      <c r="V39" s="21">
        <v>0.0</v>
      </c>
      <c r="W39" s="21">
        <v>0.0</v>
      </c>
      <c r="X39" s="21">
        <v>0.0</v>
      </c>
      <c r="Y39" s="21">
        <v>0.0</v>
      </c>
      <c r="Z39" s="21">
        <v>0.0</v>
      </c>
      <c r="AA39" s="21">
        <v>0.0</v>
      </c>
      <c r="AB39" s="21">
        <v>0.0</v>
      </c>
      <c r="AC39" s="21">
        <v>0.0</v>
      </c>
      <c r="AD39" s="21">
        <v>0.0</v>
      </c>
      <c r="AE39" s="21">
        <v>0.0</v>
      </c>
      <c r="AF39" s="21">
        <v>0.0</v>
      </c>
      <c r="AG39" s="21">
        <v>0.0</v>
      </c>
    </row>
    <row r="40" ht="14.25" customHeight="1" outlineLevel="1">
      <c r="A40" s="20"/>
      <c r="B40" s="29" t="s">
        <v>36</v>
      </c>
      <c r="C40" s="21">
        <v>0.0</v>
      </c>
      <c r="D40" s="21">
        <v>0.0</v>
      </c>
      <c r="E40" s="21">
        <v>0.0</v>
      </c>
      <c r="F40" s="21">
        <v>0.0</v>
      </c>
      <c r="G40" s="21">
        <v>0.0</v>
      </c>
      <c r="H40" s="21">
        <v>0.0</v>
      </c>
      <c r="I40" s="21">
        <v>0.0</v>
      </c>
      <c r="J40" s="21">
        <v>0.0</v>
      </c>
      <c r="K40" s="21">
        <v>0.0</v>
      </c>
      <c r="L40" s="21">
        <v>0.0</v>
      </c>
      <c r="M40" s="21">
        <v>0.0</v>
      </c>
      <c r="N40" s="21">
        <v>0.0</v>
      </c>
      <c r="O40" s="21">
        <v>0.0</v>
      </c>
      <c r="P40" s="21">
        <v>0.0</v>
      </c>
      <c r="Q40" s="21">
        <v>0.0</v>
      </c>
      <c r="R40" s="21">
        <v>0.0</v>
      </c>
      <c r="S40" s="21">
        <v>0.0</v>
      </c>
      <c r="T40" s="21">
        <v>0.0</v>
      </c>
      <c r="U40" s="21">
        <v>0.0</v>
      </c>
      <c r="V40" s="21">
        <v>0.0</v>
      </c>
      <c r="W40" s="21">
        <v>0.0</v>
      </c>
      <c r="X40" s="21">
        <v>0.0</v>
      </c>
      <c r="Y40" s="21">
        <v>0.0</v>
      </c>
      <c r="Z40" s="21">
        <v>0.0</v>
      </c>
      <c r="AA40" s="21">
        <v>0.0</v>
      </c>
      <c r="AB40" s="21">
        <v>0.0</v>
      </c>
      <c r="AC40" s="21">
        <v>0.0</v>
      </c>
      <c r="AD40" s="21">
        <v>0.0</v>
      </c>
      <c r="AE40" s="21">
        <v>0.0</v>
      </c>
      <c r="AF40" s="21">
        <v>0.0</v>
      </c>
      <c r="AG40" s="21">
        <v>0.0</v>
      </c>
    </row>
    <row r="41" ht="14.25" customHeight="1" outlineLevel="1">
      <c r="A41" s="20"/>
      <c r="B41" s="30" t="s">
        <v>39</v>
      </c>
      <c r="C41" s="21">
        <v>0.0</v>
      </c>
      <c r="D41" s="31">
        <v>0.0</v>
      </c>
      <c r="E41" s="21">
        <v>0.0</v>
      </c>
      <c r="F41" s="31">
        <v>0.0</v>
      </c>
      <c r="G41" s="21">
        <v>0.0</v>
      </c>
      <c r="H41" s="31">
        <v>0.0</v>
      </c>
      <c r="I41" s="21">
        <v>0.0</v>
      </c>
      <c r="J41" s="31">
        <v>0.0</v>
      </c>
      <c r="K41" s="21">
        <v>0.0</v>
      </c>
      <c r="L41" s="31">
        <v>0.0</v>
      </c>
      <c r="M41" s="21">
        <v>0.0</v>
      </c>
      <c r="N41" s="31">
        <v>0.0</v>
      </c>
      <c r="O41" s="21">
        <v>0.0</v>
      </c>
      <c r="P41" s="31">
        <v>0.0</v>
      </c>
      <c r="Q41" s="21">
        <v>0.0</v>
      </c>
      <c r="R41" s="31">
        <v>0.0</v>
      </c>
      <c r="S41" s="21">
        <v>0.0</v>
      </c>
      <c r="T41" s="31">
        <v>0.0</v>
      </c>
      <c r="U41" s="21">
        <v>0.0</v>
      </c>
      <c r="V41" s="31">
        <v>0.0</v>
      </c>
      <c r="W41" s="21">
        <v>0.0</v>
      </c>
      <c r="X41" s="31">
        <v>0.0</v>
      </c>
      <c r="Y41" s="21">
        <v>0.0</v>
      </c>
      <c r="Z41" s="31">
        <v>0.0</v>
      </c>
      <c r="AA41" s="31">
        <v>0.0</v>
      </c>
      <c r="AB41" s="31">
        <v>0.0</v>
      </c>
      <c r="AC41" s="31">
        <v>0.0</v>
      </c>
      <c r="AD41" s="21">
        <v>0.0</v>
      </c>
      <c r="AE41" s="31">
        <v>0.0</v>
      </c>
      <c r="AF41" s="21">
        <v>0.0</v>
      </c>
      <c r="AG41" s="31">
        <v>0.0</v>
      </c>
    </row>
    <row r="42" ht="14.25" customHeight="1" outlineLevel="1">
      <c r="A42" s="32"/>
      <c r="B42" s="33" t="s">
        <v>39</v>
      </c>
      <c r="C42" s="21">
        <v>0.0</v>
      </c>
      <c r="D42" s="31">
        <v>0.0</v>
      </c>
      <c r="E42" s="21">
        <v>0.0</v>
      </c>
      <c r="F42" s="31">
        <v>0.0</v>
      </c>
      <c r="G42" s="21">
        <v>0.0</v>
      </c>
      <c r="H42" s="31">
        <v>0.0</v>
      </c>
      <c r="I42" s="21">
        <v>0.0</v>
      </c>
      <c r="J42" s="31">
        <v>0.0</v>
      </c>
      <c r="K42" s="21">
        <v>0.0</v>
      </c>
      <c r="L42" s="31">
        <v>0.0</v>
      </c>
      <c r="M42" s="21">
        <v>0.0</v>
      </c>
      <c r="N42" s="31">
        <v>0.0</v>
      </c>
      <c r="O42" s="21">
        <v>0.0</v>
      </c>
      <c r="P42" s="31">
        <v>0.0</v>
      </c>
      <c r="Q42" s="21">
        <v>0.0</v>
      </c>
      <c r="R42" s="31">
        <v>0.0</v>
      </c>
      <c r="S42" s="21">
        <v>0.0</v>
      </c>
      <c r="T42" s="31">
        <v>0.0</v>
      </c>
      <c r="U42" s="21">
        <v>0.0</v>
      </c>
      <c r="V42" s="31">
        <v>0.0</v>
      </c>
      <c r="W42" s="21">
        <v>0.0</v>
      </c>
      <c r="X42" s="31">
        <v>0.0</v>
      </c>
      <c r="Y42" s="21">
        <v>0.0</v>
      </c>
      <c r="Z42" s="31">
        <v>0.0</v>
      </c>
      <c r="AA42" s="31">
        <v>0.0</v>
      </c>
      <c r="AB42" s="31">
        <v>0.0</v>
      </c>
      <c r="AC42" s="31">
        <v>0.0</v>
      </c>
      <c r="AD42" s="21">
        <v>0.0</v>
      </c>
      <c r="AE42" s="31">
        <v>0.0</v>
      </c>
      <c r="AF42" s="21">
        <v>0.0</v>
      </c>
      <c r="AG42" s="31">
        <v>0.0</v>
      </c>
    </row>
    <row r="43" ht="64.5" customHeight="1" outlineLevel="1">
      <c r="A43" s="34" t="s">
        <v>40</v>
      </c>
      <c r="B43" s="35" t="s">
        <v>41</v>
      </c>
      <c r="C43" s="36"/>
      <c r="D43" s="36"/>
      <c r="E43" s="36"/>
      <c r="F43" s="36"/>
      <c r="G43" s="36"/>
      <c r="H43" s="37"/>
      <c r="I43" s="37">
        <v>0.0</v>
      </c>
      <c r="J43" s="36"/>
      <c r="K43" s="36"/>
      <c r="L43" s="36"/>
      <c r="M43" s="37">
        <v>0.0</v>
      </c>
      <c r="N43" s="36"/>
      <c r="O43" s="36"/>
      <c r="P43" s="37"/>
      <c r="Q43" s="37">
        <v>0.0</v>
      </c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</row>
    <row r="44" ht="14.25" customHeight="1" outlineLevel="1">
      <c r="A44" s="39" t="s">
        <v>42</v>
      </c>
      <c r="B44" s="40" t="s">
        <v>43</v>
      </c>
      <c r="C44" s="19">
        <v>0.0</v>
      </c>
      <c r="D44" s="19">
        <v>0.0</v>
      </c>
      <c r="E44" s="19">
        <v>0.0</v>
      </c>
      <c r="F44" s="19">
        <v>0.0</v>
      </c>
      <c r="G44" s="19">
        <v>0.0</v>
      </c>
      <c r="H44" s="19">
        <v>0.0</v>
      </c>
      <c r="I44" s="19">
        <v>0.0</v>
      </c>
      <c r="J44" s="19">
        <v>0.0</v>
      </c>
      <c r="K44" s="19">
        <v>0.0</v>
      </c>
      <c r="L44" s="19">
        <v>0.0</v>
      </c>
      <c r="M44" s="19">
        <v>0.0</v>
      </c>
      <c r="N44" s="19">
        <v>0.0</v>
      </c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19">
        <v>0.0</v>
      </c>
      <c r="U44" s="19">
        <v>0.0</v>
      </c>
      <c r="V44" s="19">
        <v>0.0</v>
      </c>
      <c r="W44" s="19">
        <v>0.0</v>
      </c>
      <c r="X44" s="19">
        <v>0.0</v>
      </c>
      <c r="Y44" s="19">
        <v>0.0</v>
      </c>
      <c r="Z44" s="19">
        <v>0.0</v>
      </c>
      <c r="AA44" s="19">
        <v>0.0</v>
      </c>
      <c r="AB44" s="19">
        <v>0.0</v>
      </c>
      <c r="AC44" s="19">
        <v>0.0</v>
      </c>
      <c r="AD44" s="19">
        <v>0.0</v>
      </c>
      <c r="AE44" s="19">
        <v>0.0</v>
      </c>
      <c r="AF44" s="19">
        <v>0.0</v>
      </c>
      <c r="AG44" s="19">
        <v>0.0</v>
      </c>
    </row>
    <row r="45" ht="14.25" customHeight="1" outlineLevel="1">
      <c r="A45" s="20"/>
      <c r="B45" s="7" t="s">
        <v>44</v>
      </c>
      <c r="C45" s="19">
        <v>0.0</v>
      </c>
      <c r="D45" s="19">
        <v>0.0</v>
      </c>
      <c r="E45" s="19">
        <v>0.0</v>
      </c>
      <c r="F45" s="19">
        <v>0.0</v>
      </c>
      <c r="G45" s="19">
        <v>0.0</v>
      </c>
      <c r="H45" s="19">
        <v>0.0</v>
      </c>
      <c r="I45" s="19">
        <v>0.0</v>
      </c>
      <c r="J45" s="19">
        <v>0.0</v>
      </c>
      <c r="K45" s="19">
        <v>0.0</v>
      </c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19">
        <v>0.0</v>
      </c>
      <c r="U45" s="19">
        <v>0.0</v>
      </c>
      <c r="V45" s="19">
        <v>0.0</v>
      </c>
      <c r="W45" s="19">
        <v>0.0</v>
      </c>
      <c r="X45" s="19">
        <v>0.0</v>
      </c>
      <c r="Y45" s="19">
        <v>0.0</v>
      </c>
      <c r="Z45" s="19">
        <v>0.0</v>
      </c>
      <c r="AA45" s="19">
        <v>0.0</v>
      </c>
      <c r="AB45" s="19">
        <v>0.0</v>
      </c>
      <c r="AC45" s="19">
        <v>0.0</v>
      </c>
      <c r="AD45" s="19">
        <v>0.0</v>
      </c>
      <c r="AE45" s="19">
        <v>0.0</v>
      </c>
      <c r="AF45" s="19">
        <v>0.0</v>
      </c>
      <c r="AG45" s="19">
        <v>0.0</v>
      </c>
    </row>
    <row r="46" ht="14.25" customHeight="1" outlineLevel="1">
      <c r="A46" s="20"/>
      <c r="B46" s="19" t="s">
        <v>45</v>
      </c>
      <c r="C46" s="19">
        <v>0.0</v>
      </c>
      <c r="D46" s="19">
        <v>0.0</v>
      </c>
      <c r="E46" s="19">
        <v>0.0</v>
      </c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19">
        <v>0.0</v>
      </c>
      <c r="L46" s="19">
        <v>0.0</v>
      </c>
      <c r="M46" s="19">
        <v>0.0</v>
      </c>
      <c r="N46" s="19">
        <v>0.0</v>
      </c>
      <c r="O46" s="19">
        <v>0.0</v>
      </c>
      <c r="P46" s="19">
        <v>0.0</v>
      </c>
      <c r="Q46" s="19">
        <v>0.0</v>
      </c>
      <c r="R46" s="19">
        <v>0.0</v>
      </c>
      <c r="S46" s="19">
        <v>0.0</v>
      </c>
      <c r="T46" s="19">
        <v>0.0</v>
      </c>
      <c r="U46" s="19">
        <v>0.0</v>
      </c>
      <c r="V46" s="54">
        <v>0.0</v>
      </c>
      <c r="W46" s="19">
        <v>0.0</v>
      </c>
      <c r="X46" s="19">
        <v>0.0</v>
      </c>
      <c r="Y46" s="19">
        <v>0.0</v>
      </c>
      <c r="Z46" s="19">
        <v>0.0</v>
      </c>
      <c r="AA46" s="54">
        <v>0.0</v>
      </c>
      <c r="AB46" s="19">
        <v>0.0</v>
      </c>
      <c r="AC46" s="19">
        <v>0.0</v>
      </c>
      <c r="AD46" s="19">
        <v>0.0</v>
      </c>
      <c r="AE46" s="54">
        <v>0.0</v>
      </c>
      <c r="AF46" s="19">
        <v>0.0</v>
      </c>
      <c r="AG46" s="19">
        <v>0.0</v>
      </c>
    </row>
    <row r="47" ht="14.25" customHeight="1" outlineLevel="1">
      <c r="A47" s="20"/>
      <c r="B47" s="30" t="s">
        <v>46</v>
      </c>
      <c r="C47" s="21">
        <v>0.0</v>
      </c>
      <c r="D47" s="19">
        <v>0.0</v>
      </c>
      <c r="E47" s="19">
        <v>0.0</v>
      </c>
      <c r="F47" s="19">
        <v>0.0</v>
      </c>
      <c r="G47" s="19">
        <v>0.0</v>
      </c>
      <c r="H47" s="19">
        <v>0.0</v>
      </c>
      <c r="I47" s="19">
        <v>0.0</v>
      </c>
      <c r="J47" s="19">
        <v>0.0</v>
      </c>
      <c r="K47" s="19">
        <v>0.0</v>
      </c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9">
        <v>0.0</v>
      </c>
      <c r="R47" s="19">
        <v>0.0</v>
      </c>
      <c r="S47" s="19">
        <v>0.0</v>
      </c>
      <c r="T47" s="19">
        <v>0.0</v>
      </c>
      <c r="U47" s="53">
        <v>0.0</v>
      </c>
      <c r="V47" s="19">
        <v>0.0</v>
      </c>
      <c r="W47" s="19">
        <v>0.0</v>
      </c>
      <c r="X47" s="19">
        <v>0.0</v>
      </c>
      <c r="Y47" s="19">
        <v>0.0</v>
      </c>
      <c r="Z47" s="19">
        <v>0.0</v>
      </c>
      <c r="AA47" s="19">
        <v>0.0</v>
      </c>
      <c r="AB47" s="19">
        <v>0.0</v>
      </c>
      <c r="AC47" s="19">
        <v>0.0</v>
      </c>
      <c r="AD47" s="19">
        <v>0.0</v>
      </c>
      <c r="AE47" s="19">
        <v>0.0</v>
      </c>
      <c r="AF47" s="19">
        <v>0.0</v>
      </c>
      <c r="AG47" s="19">
        <v>0.0</v>
      </c>
    </row>
    <row r="48" ht="14.25" customHeight="1" outlineLevel="1">
      <c r="A48" s="20"/>
      <c r="B48" s="30" t="s">
        <v>47</v>
      </c>
      <c r="C48" s="21">
        <v>0.0</v>
      </c>
      <c r="D48" s="19">
        <v>0.0</v>
      </c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53">
        <v>0.0</v>
      </c>
      <c r="V48" s="19">
        <v>0.0</v>
      </c>
      <c r="W48" s="19">
        <v>0.0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  <c r="AC48" s="19">
        <v>0.0</v>
      </c>
      <c r="AD48" s="19">
        <v>0.0</v>
      </c>
      <c r="AE48" s="19">
        <v>0.0</v>
      </c>
      <c r="AF48" s="19">
        <v>0.0</v>
      </c>
      <c r="AG48" s="19">
        <v>0.0</v>
      </c>
    </row>
    <row r="49" ht="14.25" customHeight="1" outlineLevel="1">
      <c r="A49" s="32"/>
      <c r="B49" s="33" t="s">
        <v>48</v>
      </c>
      <c r="C49" s="30">
        <v>0.0</v>
      </c>
      <c r="D49" s="30">
        <v>0.0</v>
      </c>
      <c r="E49" s="30">
        <v>0.0</v>
      </c>
      <c r="F49" s="30">
        <v>0.0</v>
      </c>
      <c r="G49" s="30">
        <v>0.0</v>
      </c>
      <c r="H49" s="30">
        <v>0.0</v>
      </c>
      <c r="I49" s="30">
        <v>0.0</v>
      </c>
      <c r="J49" s="30">
        <v>0.0</v>
      </c>
      <c r="K49" s="30">
        <v>0.0</v>
      </c>
      <c r="L49" s="30">
        <v>0.0</v>
      </c>
      <c r="M49" s="30">
        <v>0.0</v>
      </c>
      <c r="N49" s="30">
        <v>0.0</v>
      </c>
      <c r="O49" s="30">
        <v>0.0</v>
      </c>
      <c r="P49" s="30">
        <v>0.0</v>
      </c>
      <c r="Q49" s="30">
        <v>0.0</v>
      </c>
      <c r="R49" s="30">
        <v>0.0</v>
      </c>
      <c r="S49" s="30">
        <v>0.0</v>
      </c>
      <c r="T49" s="30">
        <v>0.0</v>
      </c>
      <c r="U49" s="30">
        <v>0.0</v>
      </c>
      <c r="V49" s="30">
        <v>0.0</v>
      </c>
      <c r="W49" s="30">
        <v>0.0</v>
      </c>
      <c r="X49" s="30">
        <v>0.0</v>
      </c>
      <c r="Y49" s="30">
        <v>0.0</v>
      </c>
      <c r="Z49" s="30">
        <v>0.0</v>
      </c>
      <c r="AA49" s="30">
        <v>0.0</v>
      </c>
      <c r="AB49" s="30">
        <v>0.0</v>
      </c>
      <c r="AC49" s="30">
        <v>0.0</v>
      </c>
      <c r="AD49" s="30">
        <v>0.0</v>
      </c>
      <c r="AE49" s="30">
        <v>0.0</v>
      </c>
      <c r="AF49" s="30">
        <v>0.0</v>
      </c>
      <c r="AG49" s="30">
        <v>0.0</v>
      </c>
    </row>
    <row r="50" ht="14.25" customHeight="1" outlineLevel="1">
      <c r="A50" s="41" t="s">
        <v>49</v>
      </c>
      <c r="B50" s="7" t="s">
        <v>50</v>
      </c>
      <c r="C50" s="40">
        <v>0.0</v>
      </c>
      <c r="D50" s="55">
        <v>0.0</v>
      </c>
      <c r="E50" s="40">
        <v>0.0</v>
      </c>
      <c r="F50" s="40">
        <v>0.0</v>
      </c>
      <c r="G50" s="40">
        <v>0.0</v>
      </c>
      <c r="H50" s="40">
        <v>0.0</v>
      </c>
      <c r="I50" s="40">
        <v>0.0</v>
      </c>
      <c r="J50" s="40">
        <v>0.0</v>
      </c>
      <c r="K50" s="40">
        <v>0.0</v>
      </c>
      <c r="L50" s="40">
        <v>0.0</v>
      </c>
      <c r="M50" s="40">
        <v>0.0</v>
      </c>
      <c r="N50" s="40">
        <v>0.0</v>
      </c>
      <c r="O50" s="40">
        <v>0.0</v>
      </c>
      <c r="P50" s="40">
        <v>0.0</v>
      </c>
      <c r="Q50" s="40">
        <v>0.0</v>
      </c>
      <c r="R50" s="40">
        <v>0.0</v>
      </c>
      <c r="S50" s="40">
        <v>0.0</v>
      </c>
      <c r="T50" s="40">
        <v>0.0</v>
      </c>
      <c r="U50" s="40">
        <v>0.0</v>
      </c>
      <c r="V50" s="40">
        <v>0.0</v>
      </c>
      <c r="W50" s="40">
        <v>0.0</v>
      </c>
      <c r="X50" s="40">
        <v>0.0</v>
      </c>
      <c r="Y50" s="40">
        <v>0.0</v>
      </c>
      <c r="Z50" s="40">
        <v>0.0</v>
      </c>
      <c r="AA50" s="40">
        <v>0.0</v>
      </c>
      <c r="AB50" s="40">
        <v>0.0</v>
      </c>
      <c r="AC50" s="40">
        <v>0.0</v>
      </c>
      <c r="AD50" s="40">
        <v>0.0</v>
      </c>
      <c r="AE50" s="40">
        <v>0.0</v>
      </c>
      <c r="AF50" s="40">
        <v>0.0</v>
      </c>
      <c r="AG50" s="40">
        <v>0.0</v>
      </c>
    </row>
    <row r="51" ht="14.25" customHeight="1" outlineLevel="1">
      <c r="A51" s="20"/>
      <c r="B51" s="7" t="s">
        <v>51</v>
      </c>
      <c r="C51" s="19">
        <v>0.0</v>
      </c>
      <c r="D51" s="21">
        <v>0.0</v>
      </c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9">
        <v>0.0</v>
      </c>
      <c r="AD51" s="19">
        <v>0.0</v>
      </c>
      <c r="AE51" s="19">
        <v>0.0</v>
      </c>
      <c r="AF51" s="19">
        <v>0.0</v>
      </c>
      <c r="AG51" s="19">
        <v>0.0</v>
      </c>
    </row>
    <row r="52" ht="14.25" customHeight="1" outlineLevel="1">
      <c r="A52" s="20"/>
      <c r="B52" s="7" t="s">
        <v>52</v>
      </c>
      <c r="C52" s="19">
        <v>0.0</v>
      </c>
      <c r="D52" s="21">
        <v>0.0</v>
      </c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9">
        <v>0.0</v>
      </c>
      <c r="AE52" s="19">
        <v>0.0</v>
      </c>
      <c r="AF52" s="19">
        <v>0.0</v>
      </c>
      <c r="AG52" s="19">
        <v>0.0</v>
      </c>
    </row>
    <row r="53" ht="14.25" customHeight="1" outlineLevel="1">
      <c r="A53" s="20"/>
      <c r="B53" s="7" t="s">
        <v>53</v>
      </c>
      <c r="C53" s="19">
        <v>0.0</v>
      </c>
      <c r="D53" s="21">
        <v>0.0</v>
      </c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0.0</v>
      </c>
      <c r="W53" s="19">
        <v>0.0</v>
      </c>
      <c r="X53" s="19">
        <v>0.0</v>
      </c>
      <c r="Y53" s="19">
        <v>0.0</v>
      </c>
      <c r="Z53" s="19">
        <v>0.0</v>
      </c>
      <c r="AA53" s="19">
        <v>0.0</v>
      </c>
      <c r="AB53" s="19">
        <v>0.0</v>
      </c>
      <c r="AC53" s="19">
        <v>0.0</v>
      </c>
      <c r="AD53" s="19">
        <v>0.0</v>
      </c>
      <c r="AE53" s="19">
        <v>0.0</v>
      </c>
      <c r="AF53" s="19">
        <v>0.0</v>
      </c>
      <c r="AG53" s="19">
        <v>0.0</v>
      </c>
    </row>
    <row r="54" ht="14.25" customHeight="1" outlineLevel="1">
      <c r="A54" s="20"/>
      <c r="B54" s="7" t="s">
        <v>54</v>
      </c>
      <c r="C54" s="19">
        <v>0.0</v>
      </c>
      <c r="D54" s="21">
        <v>0.0</v>
      </c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9">
        <v>0.0</v>
      </c>
      <c r="N54" s="19">
        <v>0.0</v>
      </c>
      <c r="O54" s="19">
        <v>0.0</v>
      </c>
      <c r="P54" s="19">
        <v>0.0</v>
      </c>
      <c r="Q54" s="19">
        <v>0.0</v>
      </c>
      <c r="R54" s="19">
        <v>0.0</v>
      </c>
      <c r="S54" s="19">
        <v>0.0</v>
      </c>
      <c r="T54" s="19">
        <v>0.0</v>
      </c>
      <c r="U54" s="19">
        <v>0.0</v>
      </c>
      <c r="V54" s="19">
        <v>0.0</v>
      </c>
      <c r="W54" s="19">
        <v>0.0</v>
      </c>
      <c r="X54" s="19">
        <v>0.0</v>
      </c>
      <c r="Y54" s="19">
        <v>0.0</v>
      </c>
      <c r="Z54" s="19">
        <v>0.0</v>
      </c>
      <c r="AA54" s="19">
        <v>0.0</v>
      </c>
      <c r="AB54" s="19">
        <v>0.0</v>
      </c>
      <c r="AC54" s="19">
        <v>0.0</v>
      </c>
      <c r="AD54" s="19">
        <v>0.0</v>
      </c>
      <c r="AE54" s="19">
        <v>0.0</v>
      </c>
      <c r="AF54" s="19">
        <v>0.0</v>
      </c>
      <c r="AG54" s="19">
        <v>0.0</v>
      </c>
    </row>
    <row r="55" ht="12.75" customHeight="1" outlineLevel="1">
      <c r="A55" s="20"/>
      <c r="B55" s="19" t="s">
        <v>55</v>
      </c>
      <c r="C55" s="19">
        <v>0.0</v>
      </c>
      <c r="D55" s="21">
        <v>0.0</v>
      </c>
      <c r="E55" s="19">
        <v>0.0</v>
      </c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>
        <v>0.0</v>
      </c>
      <c r="M55" s="19">
        <v>0.0</v>
      </c>
      <c r="N55" s="19">
        <v>0.0</v>
      </c>
      <c r="O55" s="19">
        <v>0.0</v>
      </c>
      <c r="P55" s="19">
        <v>0.0</v>
      </c>
      <c r="Q55" s="19">
        <v>0.0</v>
      </c>
      <c r="R55" s="19">
        <v>0.0</v>
      </c>
      <c r="S55" s="19">
        <v>0.0</v>
      </c>
      <c r="T55" s="19">
        <v>0.0</v>
      </c>
      <c r="U55" s="19">
        <v>0.0</v>
      </c>
      <c r="V55" s="19">
        <v>0.0</v>
      </c>
      <c r="W55" s="19">
        <v>0.0</v>
      </c>
      <c r="X55" s="19">
        <v>0.0</v>
      </c>
      <c r="Y55" s="19">
        <v>0.0</v>
      </c>
      <c r="Z55" s="19">
        <v>0.0</v>
      </c>
      <c r="AA55" s="19">
        <v>0.0</v>
      </c>
      <c r="AB55" s="19">
        <v>0.0</v>
      </c>
      <c r="AC55" s="19">
        <v>0.0</v>
      </c>
      <c r="AD55" s="19">
        <v>0.0</v>
      </c>
      <c r="AE55" s="19">
        <v>0.0</v>
      </c>
      <c r="AF55" s="19">
        <v>0.0</v>
      </c>
      <c r="AG55" s="19">
        <v>0.0</v>
      </c>
    </row>
    <row r="56" ht="14.25" customHeight="1" outlineLevel="1">
      <c r="A56" s="20"/>
      <c r="B56" s="19" t="s">
        <v>56</v>
      </c>
      <c r="C56" s="19">
        <v>0.0</v>
      </c>
      <c r="D56" s="21">
        <v>0.0</v>
      </c>
      <c r="E56" s="19">
        <v>0.0</v>
      </c>
      <c r="F56" s="19">
        <v>0.0</v>
      </c>
      <c r="G56" s="19">
        <v>0.0</v>
      </c>
      <c r="H56" s="19">
        <v>0.0</v>
      </c>
      <c r="I56" s="19">
        <v>0.0</v>
      </c>
      <c r="J56" s="19">
        <v>0.0</v>
      </c>
      <c r="K56" s="19">
        <v>0.0</v>
      </c>
      <c r="L56" s="19">
        <v>0.0</v>
      </c>
      <c r="M56" s="19">
        <v>0.0</v>
      </c>
      <c r="N56" s="19">
        <v>0.0</v>
      </c>
      <c r="O56" s="19">
        <v>0.0</v>
      </c>
      <c r="P56" s="19">
        <v>0.0</v>
      </c>
      <c r="Q56" s="19">
        <v>0.0</v>
      </c>
      <c r="R56" s="19">
        <v>0.0</v>
      </c>
      <c r="S56" s="19">
        <v>0.0</v>
      </c>
      <c r="T56" s="19">
        <v>0.0</v>
      </c>
      <c r="U56" s="19">
        <v>0.0</v>
      </c>
      <c r="V56" s="19">
        <v>0.0</v>
      </c>
      <c r="W56" s="19">
        <v>0.0</v>
      </c>
      <c r="X56" s="19">
        <v>0.0</v>
      </c>
      <c r="Y56" s="19">
        <v>0.0</v>
      </c>
      <c r="Z56" s="19">
        <v>0.0</v>
      </c>
      <c r="AA56" s="19">
        <v>0.0</v>
      </c>
      <c r="AB56" s="19">
        <v>0.0</v>
      </c>
      <c r="AC56" s="19">
        <v>0.0</v>
      </c>
      <c r="AD56" s="19">
        <v>0.0</v>
      </c>
      <c r="AE56" s="19">
        <v>0.0</v>
      </c>
      <c r="AF56" s="19">
        <v>0.0</v>
      </c>
      <c r="AG56" s="19">
        <v>0.0</v>
      </c>
    </row>
    <row r="57" ht="14.25" customHeight="1" outlineLevel="1">
      <c r="A57" s="20"/>
      <c r="B57" s="19" t="s">
        <v>57</v>
      </c>
      <c r="C57" s="19">
        <v>0.0</v>
      </c>
      <c r="D57" s="21">
        <v>0.0</v>
      </c>
      <c r="E57" s="19">
        <v>0.0</v>
      </c>
      <c r="F57" s="19">
        <v>0.0</v>
      </c>
      <c r="G57" s="19">
        <v>0.0</v>
      </c>
      <c r="H57" s="19">
        <v>0.0</v>
      </c>
      <c r="I57" s="19">
        <v>0.0</v>
      </c>
      <c r="J57" s="19">
        <v>0.0</v>
      </c>
      <c r="K57" s="19">
        <v>0.0</v>
      </c>
      <c r="L57" s="19">
        <v>0.0</v>
      </c>
      <c r="M57" s="19">
        <v>0.0</v>
      </c>
      <c r="N57" s="19">
        <v>0.0</v>
      </c>
      <c r="O57" s="19">
        <v>0.0</v>
      </c>
      <c r="P57" s="19">
        <v>0.0</v>
      </c>
      <c r="Q57" s="19">
        <v>0.0</v>
      </c>
      <c r="R57" s="19">
        <v>0.0</v>
      </c>
      <c r="S57" s="19">
        <v>0.0</v>
      </c>
      <c r="T57" s="19">
        <v>0.0</v>
      </c>
      <c r="U57" s="19">
        <v>0.0</v>
      </c>
      <c r="V57" s="19">
        <v>0.0</v>
      </c>
      <c r="W57" s="19">
        <v>0.0</v>
      </c>
      <c r="X57" s="19">
        <v>0.0</v>
      </c>
      <c r="Y57" s="19">
        <v>0.0</v>
      </c>
      <c r="Z57" s="19">
        <v>0.0</v>
      </c>
      <c r="AA57" s="19">
        <v>0.0</v>
      </c>
      <c r="AB57" s="19">
        <v>0.0</v>
      </c>
      <c r="AC57" s="19">
        <v>0.0</v>
      </c>
      <c r="AD57" s="19">
        <v>0.0</v>
      </c>
      <c r="AE57" s="19">
        <v>0.0</v>
      </c>
      <c r="AF57" s="19">
        <v>0.0</v>
      </c>
      <c r="AG57" s="19">
        <v>0.0</v>
      </c>
    </row>
    <row r="58" ht="14.25" customHeight="1" outlineLevel="1">
      <c r="A58" s="32"/>
      <c r="B58" s="43" t="s">
        <v>39</v>
      </c>
      <c r="C58" s="19">
        <v>0.0</v>
      </c>
      <c r="D58" s="31">
        <v>0.0</v>
      </c>
      <c r="E58" s="19">
        <v>0.0</v>
      </c>
      <c r="F58" s="19">
        <v>0.0</v>
      </c>
      <c r="G58" s="19">
        <v>0.0</v>
      </c>
      <c r="H58" s="19">
        <v>0.0</v>
      </c>
      <c r="I58" s="19">
        <v>0.0</v>
      </c>
      <c r="J58" s="19">
        <v>0.0</v>
      </c>
      <c r="K58" s="19">
        <v>0.0</v>
      </c>
      <c r="L58" s="19">
        <v>0.0</v>
      </c>
      <c r="M58" s="19">
        <v>0.0</v>
      </c>
      <c r="N58" s="19">
        <v>0.0</v>
      </c>
      <c r="O58" s="19">
        <v>0.0</v>
      </c>
      <c r="P58" s="19">
        <v>0.0</v>
      </c>
      <c r="Q58" s="19">
        <v>0.0</v>
      </c>
      <c r="R58" s="19">
        <v>0.0</v>
      </c>
      <c r="S58" s="19">
        <v>0.0</v>
      </c>
      <c r="T58" s="19">
        <v>0.0</v>
      </c>
      <c r="U58" s="19">
        <v>0.0</v>
      </c>
      <c r="V58" s="19">
        <v>0.0</v>
      </c>
      <c r="W58" s="19">
        <v>0.0</v>
      </c>
      <c r="X58" s="19">
        <v>0.0</v>
      </c>
      <c r="Y58" s="19">
        <v>0.0</v>
      </c>
      <c r="Z58" s="19">
        <v>0.0</v>
      </c>
      <c r="AA58" s="19">
        <v>0.0</v>
      </c>
      <c r="AB58" s="19">
        <v>0.0</v>
      </c>
      <c r="AC58" s="19">
        <v>0.0</v>
      </c>
      <c r="AD58" s="19">
        <v>0.0</v>
      </c>
      <c r="AE58" s="19">
        <v>0.0</v>
      </c>
      <c r="AF58" s="19">
        <v>0.0</v>
      </c>
      <c r="AG58" s="19">
        <v>0.0</v>
      </c>
    </row>
    <row r="59" ht="14.25" customHeight="1">
      <c r="A59" s="45"/>
      <c r="B59" s="24" t="s">
        <v>58</v>
      </c>
      <c r="C59" s="24">
        <f t="shared" ref="C59:AG59" si="6">SUM(C30:C58)</f>
        <v>0</v>
      </c>
      <c r="D59" s="24">
        <f t="shared" si="6"/>
        <v>0</v>
      </c>
      <c r="E59" s="24">
        <f t="shared" si="6"/>
        <v>0</v>
      </c>
      <c r="F59" s="24">
        <f t="shared" si="6"/>
        <v>0</v>
      </c>
      <c r="G59" s="24">
        <f t="shared" si="6"/>
        <v>0</v>
      </c>
      <c r="H59" s="24">
        <f t="shared" si="6"/>
        <v>0</v>
      </c>
      <c r="I59" s="24">
        <f t="shared" si="6"/>
        <v>0</v>
      </c>
      <c r="J59" s="24">
        <f t="shared" si="6"/>
        <v>0</v>
      </c>
      <c r="K59" s="24">
        <f t="shared" si="6"/>
        <v>0</v>
      </c>
      <c r="L59" s="24">
        <f t="shared" si="6"/>
        <v>0</v>
      </c>
      <c r="M59" s="24">
        <f t="shared" si="6"/>
        <v>0</v>
      </c>
      <c r="N59" s="24">
        <f t="shared" si="6"/>
        <v>0</v>
      </c>
      <c r="O59" s="24">
        <f t="shared" si="6"/>
        <v>0</v>
      </c>
      <c r="P59" s="24">
        <f t="shared" si="6"/>
        <v>0</v>
      </c>
      <c r="Q59" s="24">
        <f t="shared" si="6"/>
        <v>0</v>
      </c>
      <c r="R59" s="24">
        <f t="shared" si="6"/>
        <v>0</v>
      </c>
      <c r="S59" s="24">
        <f t="shared" si="6"/>
        <v>0</v>
      </c>
      <c r="T59" s="24">
        <f t="shared" si="6"/>
        <v>0</v>
      </c>
      <c r="U59" s="24">
        <f t="shared" si="6"/>
        <v>0</v>
      </c>
      <c r="V59" s="24">
        <f t="shared" si="6"/>
        <v>0</v>
      </c>
      <c r="W59" s="24">
        <f t="shared" si="6"/>
        <v>0</v>
      </c>
      <c r="X59" s="24">
        <f t="shared" si="6"/>
        <v>0</v>
      </c>
      <c r="Y59" s="24">
        <f t="shared" si="6"/>
        <v>0</v>
      </c>
      <c r="Z59" s="24">
        <f t="shared" si="6"/>
        <v>0</v>
      </c>
      <c r="AA59" s="24">
        <f t="shared" si="6"/>
        <v>0</v>
      </c>
      <c r="AB59" s="24">
        <f t="shared" si="6"/>
        <v>0</v>
      </c>
      <c r="AC59" s="24">
        <f t="shared" si="6"/>
        <v>0</v>
      </c>
      <c r="AD59" s="24">
        <f t="shared" si="6"/>
        <v>0</v>
      </c>
      <c r="AE59" s="24">
        <f t="shared" si="6"/>
        <v>0</v>
      </c>
      <c r="AF59" s="24">
        <f t="shared" si="6"/>
        <v>0</v>
      </c>
      <c r="AG59" s="24">
        <f t="shared" si="6"/>
        <v>0</v>
      </c>
    </row>
    <row r="60" ht="14.25" customHeight="1">
      <c r="A60" s="7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ht="14.25" customHeight="1">
      <c r="A61" s="10"/>
      <c r="B61" s="11" t="s">
        <v>59</v>
      </c>
      <c r="C61" s="46">
        <f t="shared" ref="C61:AG61" si="7">+C4+C28-C59</f>
        <v>0</v>
      </c>
      <c r="D61" s="46">
        <f t="shared" si="7"/>
        <v>0</v>
      </c>
      <c r="E61" s="46">
        <f t="shared" si="7"/>
        <v>0</v>
      </c>
      <c r="F61" s="46">
        <f t="shared" si="7"/>
        <v>0</v>
      </c>
      <c r="G61" s="46">
        <f t="shared" si="7"/>
        <v>0</v>
      </c>
      <c r="H61" s="46">
        <f t="shared" si="7"/>
        <v>0</v>
      </c>
      <c r="I61" s="46">
        <f t="shared" si="7"/>
        <v>0</v>
      </c>
      <c r="J61" s="46">
        <f t="shared" si="7"/>
        <v>0</v>
      </c>
      <c r="K61" s="46">
        <f t="shared" si="7"/>
        <v>0</v>
      </c>
      <c r="L61" s="46">
        <f t="shared" si="7"/>
        <v>0</v>
      </c>
      <c r="M61" s="46">
        <f t="shared" si="7"/>
        <v>0</v>
      </c>
      <c r="N61" s="46">
        <f t="shared" si="7"/>
        <v>0</v>
      </c>
      <c r="O61" s="46">
        <f t="shared" si="7"/>
        <v>0</v>
      </c>
      <c r="P61" s="46">
        <f t="shared" si="7"/>
        <v>0</v>
      </c>
      <c r="Q61" s="46">
        <f t="shared" si="7"/>
        <v>0</v>
      </c>
      <c r="R61" s="46">
        <f t="shared" si="7"/>
        <v>0</v>
      </c>
      <c r="S61" s="46">
        <f t="shared" si="7"/>
        <v>0</v>
      </c>
      <c r="T61" s="46">
        <f t="shared" si="7"/>
        <v>0</v>
      </c>
      <c r="U61" s="46">
        <f t="shared" si="7"/>
        <v>0</v>
      </c>
      <c r="V61" s="46">
        <f t="shared" si="7"/>
        <v>0</v>
      </c>
      <c r="W61" s="46">
        <f t="shared" si="7"/>
        <v>0</v>
      </c>
      <c r="X61" s="46">
        <f t="shared" si="7"/>
        <v>0</v>
      </c>
      <c r="Y61" s="46">
        <f t="shared" si="7"/>
        <v>0</v>
      </c>
      <c r="Z61" s="46">
        <f t="shared" si="7"/>
        <v>0</v>
      </c>
      <c r="AA61" s="46">
        <f t="shared" si="7"/>
        <v>0</v>
      </c>
      <c r="AB61" s="46">
        <f t="shared" si="7"/>
        <v>0</v>
      </c>
      <c r="AC61" s="46">
        <f t="shared" si="7"/>
        <v>0</v>
      </c>
      <c r="AD61" s="46">
        <f t="shared" si="7"/>
        <v>0</v>
      </c>
      <c r="AE61" s="46">
        <f t="shared" si="7"/>
        <v>0</v>
      </c>
      <c r="AF61" s="46">
        <f t="shared" si="7"/>
        <v>0</v>
      </c>
      <c r="AG61" s="46">
        <f t="shared" si="7"/>
        <v>0</v>
      </c>
    </row>
    <row r="62" ht="14.25" customHeight="1">
      <c r="A62" s="7"/>
      <c r="B62" s="7" t="s">
        <v>69</v>
      </c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 ht="14.25" customHeight="1">
      <c r="A63" s="7"/>
      <c r="B63" s="7" t="s">
        <v>70</v>
      </c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 ht="14.25" customHeight="1">
      <c r="A64" s="7"/>
      <c r="B64" s="7"/>
      <c r="C64" s="47"/>
      <c r="D64" s="48"/>
      <c r="E64" s="48"/>
      <c r="F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 ht="14.25" customHeight="1">
      <c r="A65" s="7"/>
      <c r="B65" s="7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 ht="14.25" customHeight="1">
      <c r="A66" s="7"/>
      <c r="B66" s="7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9" t="s">
        <v>62</v>
      </c>
      <c r="X66" s="48"/>
      <c r="Y66" s="49" t="s">
        <v>63</v>
      </c>
      <c r="Z66" s="48"/>
      <c r="AA66" s="48"/>
      <c r="AB66" s="48"/>
      <c r="AC66" s="48"/>
      <c r="AD66" s="48"/>
      <c r="AE66" s="48"/>
      <c r="AF66" s="48"/>
      <c r="AG66" s="48"/>
    </row>
    <row r="67" ht="14.25" customHeight="1">
      <c r="A67" s="7"/>
      <c r="B67" s="50" t="s">
        <v>64</v>
      </c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 ht="14.25" customHeight="1">
      <c r="A68" s="7"/>
      <c r="B68" s="50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 ht="14.25" customHeight="1">
      <c r="A69" s="7"/>
      <c r="B69" s="50" t="s">
        <v>65</v>
      </c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 ht="14.25" customHeight="1">
      <c r="A70" s="7"/>
      <c r="B70" s="7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 ht="14.25" customHeight="1">
      <c r="A71" s="7"/>
      <c r="B71" s="7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 ht="14.25" customHeight="1">
      <c r="A72" s="7"/>
      <c r="B72" s="7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 ht="14.25" customHeight="1">
      <c r="A73" s="7"/>
      <c r="B73" s="7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 ht="14.25" customHeight="1">
      <c r="A74" s="7"/>
      <c r="B74" s="7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 ht="14.25" customHeight="1">
      <c r="A75" s="7"/>
      <c r="B75" s="7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 ht="14.25" customHeight="1">
      <c r="A76" s="7"/>
      <c r="B76" s="7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 ht="14.25" customHeight="1">
      <c r="A77" s="7"/>
      <c r="B77" s="7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 ht="14.25" customHeight="1">
      <c r="A78" s="7"/>
      <c r="B78" s="7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 ht="14.25" customHeight="1">
      <c r="A79" s="7"/>
      <c r="B79" s="7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 ht="14.25" customHeight="1">
      <c r="A80" s="7"/>
      <c r="B80" s="7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 ht="14.25" customHeight="1">
      <c r="A81" s="7"/>
      <c r="B81" s="7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 ht="14.25" customHeight="1">
      <c r="A82" s="7"/>
      <c r="B82" s="7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 ht="14.25" customHeight="1">
      <c r="A83" s="7"/>
      <c r="B83" s="7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 ht="14.25" customHeight="1">
      <c r="A84" s="7"/>
      <c r="B84" s="7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 ht="14.25" customHeight="1">
      <c r="A85" s="7"/>
      <c r="B85" s="7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 ht="14.25" customHeight="1">
      <c r="A86" s="7"/>
      <c r="B86" s="7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 ht="14.25" customHeight="1">
      <c r="A87" s="7"/>
      <c r="B87" s="7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 ht="14.25" customHeight="1">
      <c r="A88" s="7"/>
      <c r="B88" s="7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 ht="14.25" customHeight="1">
      <c r="A89" s="7"/>
      <c r="B89" s="7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 ht="14.25" customHeight="1">
      <c r="A90" s="7"/>
      <c r="B90" s="7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 ht="14.25" customHeight="1">
      <c r="A91" s="7"/>
      <c r="B91" s="7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 ht="14.25" customHeight="1">
      <c r="A92" s="7"/>
      <c r="B92" s="7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 ht="14.25" customHeight="1">
      <c r="A93" s="7"/>
      <c r="B93" s="7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 ht="14.25" customHeight="1">
      <c r="A94" s="7"/>
      <c r="B94" s="7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 ht="14.25" customHeight="1">
      <c r="A95" s="7"/>
      <c r="B95" s="7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 ht="14.25" customHeight="1">
      <c r="A96" s="7"/>
      <c r="B96" s="7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 ht="14.25" customHeight="1">
      <c r="A97" s="7"/>
      <c r="B97" s="7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 ht="14.25" customHeight="1">
      <c r="A98" s="7"/>
      <c r="B98" s="7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 ht="14.25" customHeight="1">
      <c r="A99" s="7"/>
      <c r="B99" s="7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 ht="14.25" customHeight="1">
      <c r="A100" s="7"/>
      <c r="B100" s="7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 ht="14.25" customHeight="1">
      <c r="A101" s="7"/>
      <c r="B101" s="7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 ht="14.25" customHeight="1">
      <c r="A102" s="7"/>
      <c r="B102" s="7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 ht="14.25" customHeight="1">
      <c r="A103" s="7"/>
      <c r="B103" s="7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 ht="14.25" customHeight="1">
      <c r="A104" s="7"/>
      <c r="B104" s="7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 ht="14.25" customHeight="1">
      <c r="A105" s="7"/>
      <c r="B105" s="7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 ht="14.25" customHeight="1">
      <c r="A106" s="7"/>
      <c r="B106" s="7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 ht="14.25" customHeight="1">
      <c r="A107" s="7"/>
      <c r="B107" s="7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 ht="14.25" customHeight="1">
      <c r="A108" s="7"/>
      <c r="B108" s="7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 ht="14.25" customHeight="1">
      <c r="A109" s="7"/>
      <c r="B109" s="7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 ht="14.25" customHeight="1">
      <c r="A110" s="7"/>
      <c r="B110" s="7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 ht="14.25" customHeight="1">
      <c r="A111" s="7"/>
      <c r="B111" s="7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 ht="14.25" customHeight="1">
      <c r="A112" s="7"/>
      <c r="B112" s="7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 ht="14.25" customHeight="1">
      <c r="A113" s="7"/>
      <c r="B113" s="7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 ht="14.25" customHeight="1">
      <c r="A114" s="7"/>
      <c r="B114" s="7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 ht="14.25" customHeight="1">
      <c r="A115" s="7"/>
      <c r="B115" s="7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 ht="14.25" customHeight="1">
      <c r="A116" s="7"/>
      <c r="B116" s="7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 ht="14.25" customHeight="1">
      <c r="A117" s="7"/>
      <c r="B117" s="7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 ht="14.25" customHeight="1">
      <c r="A118" s="7"/>
      <c r="B118" s="7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 ht="14.25" customHeight="1">
      <c r="A119" s="7"/>
      <c r="B119" s="7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 ht="14.25" customHeight="1">
      <c r="A120" s="7"/>
      <c r="B120" s="7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 ht="14.25" customHeight="1">
      <c r="A121" s="7"/>
      <c r="B121" s="7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 ht="14.25" customHeight="1">
      <c r="A122" s="7"/>
      <c r="B122" s="7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 ht="14.25" customHeight="1">
      <c r="A123" s="7"/>
      <c r="B123" s="7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 ht="14.25" customHeight="1">
      <c r="A124" s="7"/>
      <c r="B124" s="7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 ht="14.25" customHeight="1">
      <c r="A125" s="7"/>
      <c r="B125" s="7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 ht="14.25" customHeight="1">
      <c r="A126" s="7"/>
      <c r="B126" s="7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 ht="14.25" customHeight="1">
      <c r="A127" s="7"/>
      <c r="B127" s="7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 ht="14.25" customHeight="1">
      <c r="A128" s="7"/>
      <c r="B128" s="7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 ht="14.25" customHeight="1">
      <c r="A129" s="7"/>
      <c r="B129" s="7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 ht="14.25" customHeight="1">
      <c r="A130" s="7"/>
      <c r="B130" s="7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 ht="14.25" customHeight="1">
      <c r="A131" s="7"/>
      <c r="B131" s="7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 ht="14.25" customHeight="1">
      <c r="A132" s="7"/>
      <c r="B132" s="7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 ht="14.25" customHeight="1">
      <c r="A133" s="7"/>
      <c r="B133" s="7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 ht="14.25" customHeight="1">
      <c r="A134" s="7"/>
      <c r="B134" s="7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 ht="14.25" customHeight="1">
      <c r="A135" s="7"/>
      <c r="B135" s="7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 ht="14.25" customHeight="1">
      <c r="A136" s="7"/>
      <c r="B136" s="7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 ht="14.25" customHeight="1">
      <c r="A137" s="7"/>
      <c r="B137" s="7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 ht="14.25" customHeight="1">
      <c r="A138" s="7"/>
      <c r="B138" s="7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 ht="14.25" customHeight="1">
      <c r="A139" s="7"/>
      <c r="B139" s="7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 ht="14.25" customHeight="1">
      <c r="A140" s="7"/>
      <c r="B140" s="7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 ht="14.25" customHeight="1">
      <c r="A141" s="7"/>
      <c r="B141" s="7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 ht="14.25" customHeight="1">
      <c r="A142" s="7"/>
      <c r="B142" s="7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 ht="14.25" customHeight="1">
      <c r="A143" s="7"/>
      <c r="B143" s="7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 ht="14.25" customHeight="1">
      <c r="A144" s="7"/>
      <c r="B144" s="7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 ht="14.25" customHeight="1">
      <c r="A145" s="7"/>
      <c r="B145" s="7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 ht="14.25" customHeight="1">
      <c r="A146" s="7"/>
      <c r="B146" s="7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 ht="14.25" customHeight="1">
      <c r="A147" s="7"/>
      <c r="B147" s="7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 ht="14.25" customHeight="1">
      <c r="A148" s="7"/>
      <c r="B148" s="7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 ht="14.25" customHeight="1">
      <c r="A149" s="7"/>
      <c r="B149" s="7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 ht="14.25" customHeight="1">
      <c r="A150" s="7"/>
      <c r="B150" s="7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 ht="14.25" customHeight="1">
      <c r="A151" s="7"/>
      <c r="B151" s="7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 ht="14.25" customHeight="1">
      <c r="A152" s="7"/>
      <c r="B152" s="7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 ht="14.25" customHeight="1">
      <c r="A153" s="7"/>
      <c r="B153" s="7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 ht="14.25" customHeight="1">
      <c r="A154" s="7"/>
      <c r="B154" s="7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 ht="14.25" customHeight="1">
      <c r="A155" s="7"/>
      <c r="B155" s="7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 ht="14.25" customHeight="1">
      <c r="A156" s="7"/>
      <c r="B156" s="7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 ht="14.25" customHeight="1">
      <c r="A157" s="7"/>
      <c r="B157" s="7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 ht="14.25" customHeight="1">
      <c r="A158" s="7"/>
      <c r="B158" s="7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 ht="14.25" customHeight="1">
      <c r="A159" s="7"/>
      <c r="B159" s="7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 ht="14.25" customHeight="1">
      <c r="A160" s="7"/>
      <c r="B160" s="7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 ht="14.25" customHeight="1">
      <c r="A161" s="7"/>
      <c r="B161" s="7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 ht="14.25" customHeight="1">
      <c r="A162" s="7"/>
      <c r="B162" s="7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 ht="14.25" customHeight="1">
      <c r="A163" s="7"/>
      <c r="B163" s="7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 ht="14.25" customHeight="1">
      <c r="A164" s="7"/>
      <c r="B164" s="7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 ht="14.25" customHeight="1">
      <c r="A165" s="7"/>
      <c r="B165" s="7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 ht="14.25" customHeight="1">
      <c r="A166" s="7"/>
      <c r="B166" s="7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 ht="14.25" customHeight="1">
      <c r="A167" s="7"/>
      <c r="B167" s="7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 ht="14.25" customHeight="1">
      <c r="A168" s="7"/>
      <c r="B168" s="7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 ht="14.25" customHeight="1">
      <c r="A169" s="7"/>
      <c r="B169" s="7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 ht="14.25" customHeight="1">
      <c r="A170" s="7"/>
      <c r="B170" s="7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 ht="14.25" customHeight="1">
      <c r="A171" s="7"/>
      <c r="B171" s="7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 ht="14.25" customHeight="1">
      <c r="A172" s="7"/>
      <c r="B172" s="7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 ht="14.25" customHeight="1">
      <c r="A173" s="7"/>
      <c r="B173" s="7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 ht="14.25" customHeight="1">
      <c r="A174" s="7"/>
      <c r="B174" s="7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 ht="14.25" customHeight="1">
      <c r="A175" s="7"/>
      <c r="B175" s="7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 ht="14.25" customHeight="1">
      <c r="A176" s="7"/>
      <c r="B176" s="7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 ht="14.25" customHeight="1">
      <c r="A177" s="7"/>
      <c r="B177" s="7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 ht="14.25" customHeight="1">
      <c r="A178" s="7"/>
      <c r="B178" s="7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 ht="14.25" customHeight="1">
      <c r="A179" s="7"/>
      <c r="B179" s="7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 ht="14.25" customHeight="1">
      <c r="A180" s="7"/>
      <c r="B180" s="7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 ht="14.25" customHeight="1">
      <c r="A181" s="7"/>
      <c r="B181" s="7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 ht="14.25" customHeight="1">
      <c r="A182" s="7"/>
      <c r="B182" s="7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 ht="14.25" customHeight="1">
      <c r="A183" s="7"/>
      <c r="B183" s="7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 ht="14.25" customHeight="1">
      <c r="A184" s="7"/>
      <c r="B184" s="7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 ht="14.25" customHeight="1">
      <c r="A185" s="7"/>
      <c r="B185" s="7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 ht="14.25" customHeight="1">
      <c r="A186" s="7"/>
      <c r="B186" s="7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 ht="14.25" customHeight="1">
      <c r="A187" s="7"/>
      <c r="B187" s="7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 ht="14.25" customHeight="1">
      <c r="A188" s="7"/>
      <c r="B188" s="7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 ht="14.25" customHeight="1">
      <c r="A189" s="7"/>
      <c r="B189" s="7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 ht="14.25" customHeight="1">
      <c r="A190" s="7"/>
      <c r="B190" s="7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 ht="14.25" customHeight="1">
      <c r="A191" s="7"/>
      <c r="B191" s="7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 ht="14.25" customHeight="1">
      <c r="A192" s="7"/>
      <c r="B192" s="7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 ht="14.25" customHeight="1">
      <c r="A193" s="7"/>
      <c r="B193" s="7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 ht="14.25" customHeight="1">
      <c r="A194" s="7"/>
      <c r="B194" s="7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 ht="14.25" customHeight="1">
      <c r="A195" s="7"/>
      <c r="B195" s="7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 ht="14.25" customHeight="1">
      <c r="A196" s="7"/>
      <c r="B196" s="7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 ht="14.25" customHeight="1">
      <c r="A197" s="7"/>
      <c r="B197" s="7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 ht="14.25" customHeight="1">
      <c r="A198" s="7"/>
      <c r="B198" s="7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 ht="14.25" customHeight="1">
      <c r="A199" s="7"/>
      <c r="B199" s="7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 ht="14.25" customHeight="1">
      <c r="A200" s="7"/>
      <c r="B200" s="7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 ht="14.25" customHeight="1">
      <c r="A201" s="7"/>
      <c r="B201" s="7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 ht="14.25" customHeight="1">
      <c r="A202" s="7"/>
      <c r="B202" s="7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 ht="14.25" customHeight="1">
      <c r="A203" s="7"/>
      <c r="B203" s="7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 ht="14.25" customHeight="1">
      <c r="A204" s="7"/>
      <c r="B204" s="7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 ht="14.25" customHeight="1">
      <c r="A205" s="7"/>
      <c r="B205" s="7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 ht="14.25" customHeight="1">
      <c r="A206" s="7"/>
      <c r="B206" s="7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 ht="14.25" customHeight="1">
      <c r="A207" s="7"/>
      <c r="B207" s="7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 ht="14.25" customHeight="1">
      <c r="A208" s="7"/>
      <c r="B208" s="7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 ht="14.25" customHeight="1">
      <c r="A209" s="7"/>
      <c r="B209" s="7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 ht="14.25" customHeight="1">
      <c r="A210" s="7"/>
      <c r="B210" s="7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 ht="14.25" customHeight="1">
      <c r="A211" s="7"/>
      <c r="B211" s="7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 ht="14.25" customHeight="1">
      <c r="A212" s="7"/>
      <c r="B212" s="7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 ht="14.25" customHeight="1">
      <c r="A213" s="7"/>
      <c r="B213" s="7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 ht="14.25" customHeight="1">
      <c r="A214" s="7"/>
      <c r="B214" s="7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 ht="14.25" customHeight="1">
      <c r="A215" s="7"/>
      <c r="B215" s="7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 ht="14.25" customHeight="1">
      <c r="A216" s="7"/>
      <c r="B216" s="7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 ht="14.25" customHeight="1">
      <c r="A217" s="7"/>
      <c r="B217" s="7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 ht="14.25" customHeight="1">
      <c r="A218" s="7"/>
      <c r="B218" s="7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 ht="14.25" customHeight="1">
      <c r="A219" s="7"/>
      <c r="B219" s="7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 ht="14.25" customHeight="1">
      <c r="A220" s="7"/>
      <c r="B220" s="7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 ht="14.25" customHeight="1">
      <c r="A221" s="7"/>
      <c r="B221" s="7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 ht="14.25" customHeight="1">
      <c r="A222" s="7"/>
      <c r="B222" s="7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 ht="14.25" customHeight="1">
      <c r="A223" s="7"/>
      <c r="B223" s="7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 ht="14.25" customHeight="1">
      <c r="A224" s="7"/>
      <c r="B224" s="7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 ht="14.25" customHeight="1">
      <c r="A225" s="7"/>
      <c r="B225" s="7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 ht="14.25" customHeight="1">
      <c r="A226" s="7"/>
      <c r="B226" s="7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 ht="14.25" customHeight="1">
      <c r="A227" s="7"/>
      <c r="B227" s="7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 ht="14.25" customHeight="1">
      <c r="A228" s="7"/>
      <c r="B228" s="7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 ht="14.25" customHeight="1">
      <c r="A229" s="7"/>
      <c r="B229" s="7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 ht="14.25" customHeight="1">
      <c r="A230" s="7"/>
      <c r="B230" s="7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 ht="14.25" customHeight="1">
      <c r="A231" s="7"/>
      <c r="B231" s="7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 ht="14.25" customHeight="1">
      <c r="A232" s="7"/>
      <c r="B232" s="7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ht="14.25" customHeight="1">
      <c r="A233" s="7"/>
      <c r="B233" s="7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 ht="14.25" customHeight="1">
      <c r="A234" s="7"/>
      <c r="B234" s="7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 ht="14.25" customHeight="1">
      <c r="A235" s="7"/>
      <c r="B235" s="7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 ht="14.25" customHeight="1">
      <c r="A236" s="7"/>
      <c r="B236" s="7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 ht="14.25" customHeight="1">
      <c r="A237" s="7"/>
      <c r="B237" s="7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 ht="14.25" customHeight="1">
      <c r="A238" s="7"/>
      <c r="B238" s="7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 ht="14.25" customHeight="1">
      <c r="A239" s="7"/>
      <c r="B239" s="7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 ht="14.25" customHeight="1">
      <c r="A240" s="7"/>
      <c r="B240" s="7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 ht="14.25" customHeight="1">
      <c r="A241" s="7"/>
      <c r="B241" s="7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 ht="14.25" customHeight="1">
      <c r="A242" s="7"/>
      <c r="B242" s="7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 ht="14.25" customHeight="1">
      <c r="A243" s="7"/>
      <c r="B243" s="7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 ht="14.25" customHeight="1">
      <c r="A244" s="7"/>
      <c r="B244" s="7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 ht="14.25" customHeight="1">
      <c r="A245" s="7"/>
      <c r="B245" s="7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 ht="14.25" customHeight="1">
      <c r="A246" s="7"/>
      <c r="B246" s="7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 ht="14.25" customHeight="1">
      <c r="A247" s="7"/>
      <c r="B247" s="7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 ht="14.25" customHeight="1">
      <c r="A248" s="7"/>
      <c r="B248" s="7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 ht="14.25" customHeight="1">
      <c r="A249" s="7"/>
      <c r="B249" s="7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 ht="14.25" customHeight="1">
      <c r="A250" s="7"/>
      <c r="B250" s="7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 ht="14.25" customHeight="1">
      <c r="A251" s="7"/>
      <c r="B251" s="7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 ht="14.25" customHeight="1">
      <c r="A252" s="7"/>
      <c r="B252" s="7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 ht="14.25" customHeight="1">
      <c r="A253" s="7"/>
      <c r="B253" s="7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 ht="14.25" customHeight="1">
      <c r="A254" s="7"/>
      <c r="B254" s="7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 ht="14.25" customHeight="1">
      <c r="A255" s="7"/>
      <c r="B255" s="7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 ht="14.25" customHeight="1">
      <c r="A256" s="7"/>
      <c r="B256" s="7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 ht="14.25" customHeight="1">
      <c r="A257" s="7"/>
      <c r="B257" s="7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 ht="14.25" customHeight="1">
      <c r="A258" s="7"/>
      <c r="B258" s="7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 ht="14.25" customHeight="1">
      <c r="A259" s="7"/>
      <c r="B259" s="7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 ht="14.25" customHeight="1">
      <c r="A260" s="7"/>
      <c r="B260" s="7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 ht="14.25" customHeight="1">
      <c r="A261" s="7"/>
      <c r="B261" s="7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 ht="14.25" customHeight="1">
      <c r="A262" s="7"/>
      <c r="B262" s="7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 ht="14.25" customHeight="1">
      <c r="A263" s="7"/>
      <c r="B263" s="7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 ht="14.25" customHeight="1">
      <c r="A264" s="7"/>
      <c r="B264" s="7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 ht="14.25" customHeight="1">
      <c r="A265" s="7"/>
      <c r="B265" s="7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 ht="14.25" customHeight="1">
      <c r="A266" s="7"/>
      <c r="B266" s="7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 ht="14.25" customHeight="1">
      <c r="A267" s="7"/>
      <c r="B267" s="7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 ht="14.25" customHeight="1">
      <c r="A268" s="7"/>
      <c r="B268" s="7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 ht="14.25" customHeight="1">
      <c r="A269" s="7"/>
      <c r="B269" s="7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 ht="14.25" customHeight="1">
      <c r="A270" s="7"/>
      <c r="B270" s="7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 ht="14.25" customHeight="1">
      <c r="A271" s="7"/>
      <c r="B271" s="7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 ht="14.25" customHeight="1">
      <c r="A272" s="7"/>
      <c r="B272" s="7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 ht="14.25" customHeight="1">
      <c r="A273" s="7"/>
      <c r="B273" s="7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 ht="14.25" customHeight="1">
      <c r="A274" s="7"/>
      <c r="B274" s="7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 ht="14.25" customHeight="1">
      <c r="A275" s="7"/>
      <c r="B275" s="7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 ht="14.25" customHeight="1">
      <c r="A276" s="7"/>
      <c r="B276" s="7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 ht="14.25" customHeight="1">
      <c r="A277" s="7"/>
      <c r="B277" s="7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 ht="14.25" customHeight="1">
      <c r="A278" s="7"/>
      <c r="B278" s="7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 ht="14.25" customHeight="1">
      <c r="A279" s="7"/>
      <c r="B279" s="7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 ht="14.25" customHeight="1">
      <c r="A280" s="7"/>
      <c r="B280" s="7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 ht="14.25" customHeight="1">
      <c r="A281" s="7"/>
      <c r="B281" s="7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 ht="14.25" customHeight="1">
      <c r="A282" s="7"/>
      <c r="B282" s="7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 ht="14.25" customHeight="1">
      <c r="A283" s="7"/>
      <c r="B283" s="7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 ht="14.25" customHeight="1">
      <c r="A284" s="7"/>
      <c r="B284" s="7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 ht="14.25" customHeight="1">
      <c r="A285" s="7"/>
      <c r="B285" s="7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 ht="14.25" customHeight="1">
      <c r="A286" s="7"/>
      <c r="B286" s="7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 ht="14.25" customHeight="1">
      <c r="A287" s="7"/>
      <c r="B287" s="7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 ht="14.25" customHeight="1">
      <c r="A288" s="7"/>
      <c r="B288" s="7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 ht="14.25" customHeight="1">
      <c r="A289" s="7"/>
      <c r="B289" s="7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 ht="14.25" customHeight="1">
      <c r="A290" s="7"/>
      <c r="B290" s="7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 ht="14.25" customHeight="1">
      <c r="A291" s="7"/>
      <c r="B291" s="7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 ht="14.25" customHeight="1">
      <c r="A292" s="7"/>
      <c r="B292" s="7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 ht="14.25" customHeight="1">
      <c r="A293" s="7"/>
      <c r="B293" s="7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 ht="14.25" customHeight="1">
      <c r="A294" s="7"/>
      <c r="B294" s="7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 ht="14.25" customHeight="1">
      <c r="A295" s="7"/>
      <c r="B295" s="7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 ht="14.25" customHeight="1">
      <c r="A296" s="7"/>
      <c r="B296" s="7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 ht="14.25" customHeight="1">
      <c r="A297" s="7"/>
      <c r="B297" s="7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 ht="14.25" customHeight="1">
      <c r="A298" s="7"/>
      <c r="B298" s="7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 ht="14.25" customHeight="1">
      <c r="A299" s="7"/>
      <c r="B299" s="7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 ht="14.25" customHeight="1">
      <c r="A300" s="7"/>
      <c r="B300" s="7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 ht="14.25" customHeight="1">
      <c r="A301" s="7"/>
      <c r="B301" s="7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 ht="14.25" customHeight="1">
      <c r="A302" s="7"/>
      <c r="B302" s="7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 ht="14.25" customHeight="1">
      <c r="A303" s="7"/>
      <c r="B303" s="7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 ht="14.25" customHeight="1">
      <c r="A304" s="7"/>
      <c r="B304" s="7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 ht="14.25" customHeight="1">
      <c r="A305" s="7"/>
      <c r="B305" s="7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 ht="14.25" customHeight="1">
      <c r="A306" s="7"/>
      <c r="B306" s="7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 ht="14.25" customHeight="1">
      <c r="A307" s="7"/>
      <c r="B307" s="7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 ht="14.25" customHeight="1">
      <c r="A308" s="7"/>
      <c r="B308" s="7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 ht="14.25" customHeight="1">
      <c r="A309" s="7"/>
      <c r="B309" s="7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 ht="14.25" customHeight="1">
      <c r="A310" s="7"/>
      <c r="B310" s="7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 ht="14.25" customHeight="1">
      <c r="A311" s="7"/>
      <c r="B311" s="7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 ht="14.25" customHeight="1">
      <c r="A312" s="7"/>
      <c r="B312" s="7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 ht="14.25" customHeight="1">
      <c r="A313" s="7"/>
      <c r="B313" s="7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 ht="14.25" customHeight="1">
      <c r="A314" s="7"/>
      <c r="B314" s="7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 ht="14.25" customHeight="1">
      <c r="A315" s="7"/>
      <c r="B315" s="7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 ht="14.25" customHeight="1">
      <c r="A316" s="7"/>
      <c r="B316" s="7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 ht="14.25" customHeight="1">
      <c r="A317" s="7"/>
      <c r="B317" s="7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 ht="14.25" customHeight="1">
      <c r="A318" s="7"/>
      <c r="B318" s="7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 ht="14.25" customHeight="1">
      <c r="A319" s="7"/>
      <c r="B319" s="7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 ht="14.25" customHeight="1">
      <c r="A320" s="7"/>
      <c r="B320" s="7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 ht="14.25" customHeight="1">
      <c r="A321" s="7"/>
      <c r="B321" s="7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 ht="14.25" customHeight="1">
      <c r="A322" s="7"/>
      <c r="B322" s="7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 ht="14.25" customHeight="1">
      <c r="A323" s="7"/>
      <c r="B323" s="7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 ht="14.25" customHeight="1">
      <c r="A324" s="7"/>
      <c r="B324" s="7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 ht="14.25" customHeight="1">
      <c r="A325" s="7"/>
      <c r="B325" s="7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 ht="14.25" customHeight="1">
      <c r="A326" s="7"/>
      <c r="B326" s="7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 ht="14.25" customHeight="1">
      <c r="A327" s="7"/>
      <c r="B327" s="7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 ht="14.25" customHeight="1">
      <c r="A328" s="7"/>
      <c r="B328" s="7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 ht="14.25" customHeight="1">
      <c r="A329" s="7"/>
      <c r="B329" s="7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 ht="14.25" customHeight="1">
      <c r="A330" s="7"/>
      <c r="B330" s="7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 ht="14.25" customHeight="1">
      <c r="A331" s="7"/>
      <c r="B331" s="7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 ht="14.25" customHeight="1">
      <c r="A332" s="7"/>
      <c r="B332" s="7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 ht="14.25" customHeight="1">
      <c r="A333" s="7"/>
      <c r="B333" s="7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 ht="14.25" customHeight="1">
      <c r="A334" s="7"/>
      <c r="B334" s="7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 ht="14.25" customHeight="1">
      <c r="A335" s="7"/>
      <c r="B335" s="7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 ht="14.25" customHeight="1">
      <c r="A336" s="7"/>
      <c r="B336" s="7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 ht="14.25" customHeight="1">
      <c r="A337" s="7"/>
      <c r="B337" s="7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 ht="14.25" customHeight="1">
      <c r="A338" s="7"/>
      <c r="B338" s="7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 ht="14.25" customHeight="1">
      <c r="A339" s="7"/>
      <c r="B339" s="7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 ht="14.25" customHeight="1">
      <c r="A340" s="7"/>
      <c r="B340" s="7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 ht="14.25" customHeight="1">
      <c r="A341" s="7"/>
      <c r="B341" s="7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 ht="14.25" customHeight="1">
      <c r="A342" s="7"/>
      <c r="B342" s="7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 ht="14.25" customHeight="1">
      <c r="A343" s="7"/>
      <c r="B343" s="7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 ht="14.25" customHeight="1">
      <c r="A344" s="7"/>
      <c r="B344" s="7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 ht="14.25" customHeight="1">
      <c r="A345" s="7"/>
      <c r="B345" s="7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 ht="14.25" customHeight="1">
      <c r="A346" s="7"/>
      <c r="B346" s="7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 ht="14.25" customHeight="1">
      <c r="A347" s="7"/>
      <c r="B347" s="7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 ht="14.25" customHeight="1">
      <c r="A348" s="7"/>
      <c r="B348" s="7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 ht="14.25" customHeight="1">
      <c r="A349" s="7"/>
      <c r="B349" s="7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 ht="14.25" customHeight="1">
      <c r="A350" s="7"/>
      <c r="B350" s="7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 ht="14.25" customHeight="1">
      <c r="A351" s="7"/>
      <c r="B351" s="7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 ht="14.25" customHeight="1">
      <c r="A352" s="7"/>
      <c r="B352" s="7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 ht="14.25" customHeight="1">
      <c r="A353" s="7"/>
      <c r="B353" s="7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 ht="14.25" customHeight="1">
      <c r="A354" s="7"/>
      <c r="B354" s="7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 ht="14.25" customHeight="1">
      <c r="A355" s="7"/>
      <c r="B355" s="7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 ht="14.25" customHeight="1">
      <c r="A356" s="7"/>
      <c r="B356" s="7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 ht="14.25" customHeight="1">
      <c r="A357" s="7"/>
      <c r="B357" s="7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 ht="14.25" customHeight="1">
      <c r="A358" s="7"/>
      <c r="B358" s="7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 ht="14.25" customHeight="1">
      <c r="A359" s="7"/>
      <c r="B359" s="7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 ht="14.25" customHeight="1">
      <c r="A360" s="7"/>
      <c r="B360" s="7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 ht="14.25" customHeight="1">
      <c r="A361" s="7"/>
      <c r="B361" s="7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 ht="14.25" customHeight="1">
      <c r="A362" s="7"/>
      <c r="B362" s="7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 ht="14.25" customHeight="1">
      <c r="A363" s="7"/>
      <c r="B363" s="7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 ht="14.25" customHeight="1">
      <c r="A364" s="7"/>
      <c r="B364" s="7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 ht="14.25" customHeight="1">
      <c r="A365" s="7"/>
      <c r="B365" s="7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 ht="14.25" customHeight="1">
      <c r="A366" s="7"/>
      <c r="B366" s="7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 ht="14.25" customHeight="1">
      <c r="A367" s="7"/>
      <c r="B367" s="7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 ht="14.25" customHeight="1">
      <c r="A368" s="7"/>
      <c r="B368" s="7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 ht="14.25" customHeight="1">
      <c r="A369" s="7"/>
      <c r="B369" s="7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 ht="14.25" customHeight="1">
      <c r="A370" s="7"/>
      <c r="B370" s="7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 ht="14.25" customHeight="1">
      <c r="A371" s="7"/>
      <c r="B371" s="7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 ht="14.25" customHeight="1">
      <c r="A372" s="7"/>
      <c r="B372" s="7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 ht="14.25" customHeight="1">
      <c r="A373" s="7"/>
      <c r="B373" s="7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 ht="14.25" customHeight="1">
      <c r="A374" s="7"/>
      <c r="B374" s="7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 ht="14.25" customHeight="1">
      <c r="A375" s="7"/>
      <c r="B375" s="7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 ht="14.25" customHeight="1">
      <c r="A376" s="7"/>
      <c r="B376" s="7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 ht="14.25" customHeight="1">
      <c r="A377" s="7"/>
      <c r="B377" s="7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 ht="14.25" customHeight="1">
      <c r="A378" s="7"/>
      <c r="B378" s="7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 ht="14.25" customHeight="1">
      <c r="A379" s="7"/>
      <c r="B379" s="7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 ht="14.25" customHeight="1">
      <c r="A380" s="7"/>
      <c r="B380" s="7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 ht="14.25" customHeight="1">
      <c r="A381" s="7"/>
      <c r="B381" s="7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 ht="14.25" customHeight="1">
      <c r="A382" s="7"/>
      <c r="B382" s="7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 ht="14.25" customHeight="1">
      <c r="A383" s="7"/>
      <c r="B383" s="7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 ht="14.25" customHeight="1">
      <c r="A384" s="7"/>
      <c r="B384" s="7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 ht="14.25" customHeight="1">
      <c r="A385" s="7"/>
      <c r="B385" s="7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 ht="14.25" customHeight="1">
      <c r="A386" s="7"/>
      <c r="B386" s="7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 ht="14.25" customHeight="1">
      <c r="A387" s="7"/>
      <c r="B387" s="7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 ht="14.25" customHeight="1">
      <c r="A388" s="7"/>
      <c r="B388" s="7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 ht="14.25" customHeight="1">
      <c r="A389" s="7"/>
      <c r="B389" s="7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 ht="14.25" customHeight="1">
      <c r="A390" s="7"/>
      <c r="B390" s="7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 ht="14.25" customHeight="1">
      <c r="A391" s="7"/>
      <c r="B391" s="7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 ht="14.25" customHeight="1">
      <c r="A392" s="7"/>
      <c r="B392" s="7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 ht="14.25" customHeight="1">
      <c r="A393" s="7"/>
      <c r="B393" s="7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 ht="14.25" customHeight="1">
      <c r="A394" s="7"/>
      <c r="B394" s="7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 ht="14.25" customHeight="1">
      <c r="A395" s="7"/>
      <c r="B395" s="7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 ht="14.25" customHeight="1">
      <c r="A396" s="7"/>
      <c r="B396" s="7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 ht="14.25" customHeight="1">
      <c r="A397" s="7"/>
      <c r="B397" s="7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 ht="14.25" customHeight="1">
      <c r="A398" s="7"/>
      <c r="B398" s="7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 ht="14.25" customHeight="1">
      <c r="A399" s="7"/>
      <c r="B399" s="7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 ht="14.25" customHeight="1">
      <c r="A400" s="7"/>
      <c r="B400" s="7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 ht="14.25" customHeight="1">
      <c r="A401" s="7"/>
      <c r="B401" s="7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 ht="14.25" customHeight="1">
      <c r="A402" s="7"/>
      <c r="B402" s="7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 ht="14.25" customHeight="1">
      <c r="A403" s="7"/>
      <c r="B403" s="7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 ht="14.25" customHeight="1">
      <c r="A404" s="7"/>
      <c r="B404" s="7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 ht="14.25" customHeight="1">
      <c r="A405" s="7"/>
      <c r="B405" s="7"/>
      <c r="C405" s="47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 ht="14.25" customHeight="1">
      <c r="A406" s="7"/>
      <c r="B406" s="7"/>
      <c r="C406" s="47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 ht="14.25" customHeight="1">
      <c r="A407" s="7"/>
      <c r="B407" s="7"/>
      <c r="C407" s="47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 ht="14.25" customHeight="1">
      <c r="A408" s="7"/>
      <c r="B408" s="7"/>
      <c r="C408" s="47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 ht="14.25" customHeight="1">
      <c r="A409" s="7"/>
      <c r="B409" s="7"/>
      <c r="C409" s="47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 ht="14.25" customHeight="1">
      <c r="A410" s="7"/>
      <c r="B410" s="7"/>
      <c r="C410" s="47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 ht="14.25" customHeight="1">
      <c r="A411" s="7"/>
      <c r="B411" s="7"/>
      <c r="C411" s="47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 ht="14.25" customHeight="1">
      <c r="A412" s="7"/>
      <c r="B412" s="7"/>
      <c r="C412" s="47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 ht="14.25" customHeight="1">
      <c r="A413" s="7"/>
      <c r="B413" s="7"/>
      <c r="C413" s="47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 ht="14.25" customHeight="1">
      <c r="A414" s="7"/>
      <c r="B414" s="7"/>
      <c r="C414" s="47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 ht="14.25" customHeight="1">
      <c r="A415" s="7"/>
      <c r="B415" s="7"/>
      <c r="C415" s="47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 ht="14.25" customHeight="1">
      <c r="A416" s="7"/>
      <c r="B416" s="7"/>
      <c r="C416" s="47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 ht="14.25" customHeight="1">
      <c r="A417" s="7"/>
      <c r="B417" s="7"/>
      <c r="C417" s="47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 ht="14.25" customHeight="1">
      <c r="A418" s="7"/>
      <c r="B418" s="7"/>
      <c r="C418" s="47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 ht="14.25" customHeight="1">
      <c r="A419" s="7"/>
      <c r="B419" s="7"/>
      <c r="C419" s="47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 ht="14.25" customHeight="1">
      <c r="A420" s="7"/>
      <c r="B420" s="7"/>
      <c r="C420" s="47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 ht="14.25" customHeight="1">
      <c r="A421" s="7"/>
      <c r="B421" s="7"/>
      <c r="C421" s="47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 ht="14.25" customHeight="1">
      <c r="A422" s="7"/>
      <c r="B422" s="7"/>
      <c r="C422" s="47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 ht="14.25" customHeight="1">
      <c r="A423" s="7"/>
      <c r="B423" s="7"/>
      <c r="C423" s="47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 ht="14.25" customHeight="1">
      <c r="A424" s="7"/>
      <c r="B424" s="7"/>
      <c r="C424" s="47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 ht="14.25" customHeight="1">
      <c r="A425" s="7"/>
      <c r="B425" s="7"/>
      <c r="C425" s="47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 ht="14.25" customHeight="1">
      <c r="A426" s="7"/>
      <c r="B426" s="7"/>
      <c r="C426" s="47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 ht="14.25" customHeight="1">
      <c r="A427" s="7"/>
      <c r="B427" s="7"/>
      <c r="C427" s="47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 ht="14.25" customHeight="1">
      <c r="A428" s="7"/>
      <c r="B428" s="7"/>
      <c r="C428" s="47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 ht="14.25" customHeight="1">
      <c r="A429" s="7"/>
      <c r="B429" s="7"/>
      <c r="C429" s="47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 ht="14.25" customHeight="1">
      <c r="A430" s="7"/>
      <c r="B430" s="7"/>
      <c r="C430" s="47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 ht="14.25" customHeight="1">
      <c r="A431" s="7"/>
      <c r="B431" s="7"/>
      <c r="C431" s="47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 ht="14.25" customHeight="1">
      <c r="A432" s="7"/>
      <c r="B432" s="7"/>
      <c r="C432" s="47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 ht="14.25" customHeight="1">
      <c r="A433" s="7"/>
      <c r="B433" s="7"/>
      <c r="C433" s="47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 ht="14.25" customHeight="1">
      <c r="A434" s="7"/>
      <c r="B434" s="7"/>
      <c r="C434" s="47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 ht="14.25" customHeight="1">
      <c r="A435" s="7"/>
      <c r="B435" s="7"/>
      <c r="C435" s="47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 ht="14.25" customHeight="1">
      <c r="A436" s="7"/>
      <c r="B436" s="7"/>
      <c r="C436" s="47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 ht="14.25" customHeight="1">
      <c r="A437" s="7"/>
      <c r="B437" s="7"/>
      <c r="C437" s="47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 ht="14.25" customHeight="1">
      <c r="A438" s="7"/>
      <c r="B438" s="7"/>
      <c r="C438" s="47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 ht="14.25" customHeight="1">
      <c r="A439" s="7"/>
      <c r="B439" s="7"/>
      <c r="C439" s="47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 ht="14.25" customHeight="1">
      <c r="A440" s="7"/>
      <c r="B440" s="7"/>
      <c r="C440" s="47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 ht="14.25" customHeight="1">
      <c r="A441" s="7"/>
      <c r="B441" s="7"/>
      <c r="C441" s="47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 ht="14.25" customHeight="1">
      <c r="A442" s="7"/>
      <c r="B442" s="7"/>
      <c r="C442" s="47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 ht="14.25" customHeight="1">
      <c r="A443" s="7"/>
      <c r="B443" s="7"/>
      <c r="C443" s="47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 ht="14.25" customHeight="1">
      <c r="A444" s="7"/>
      <c r="B444" s="7"/>
      <c r="C444" s="47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 ht="14.25" customHeight="1">
      <c r="A445" s="7"/>
      <c r="B445" s="7"/>
      <c r="C445" s="47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 ht="14.25" customHeight="1">
      <c r="A446" s="7"/>
      <c r="B446" s="7"/>
      <c r="C446" s="47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 ht="14.25" customHeight="1">
      <c r="A447" s="7"/>
      <c r="B447" s="7"/>
      <c r="C447" s="47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 ht="14.25" customHeight="1">
      <c r="A448" s="7"/>
      <c r="B448" s="7"/>
      <c r="C448" s="47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 ht="14.25" customHeight="1">
      <c r="A449" s="7"/>
      <c r="B449" s="7"/>
      <c r="C449" s="47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 ht="14.25" customHeight="1">
      <c r="A450" s="7"/>
      <c r="B450" s="7"/>
      <c r="C450" s="47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 ht="14.25" customHeight="1">
      <c r="A451" s="7"/>
      <c r="B451" s="7"/>
      <c r="C451" s="47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 ht="14.25" customHeight="1">
      <c r="A452" s="7"/>
      <c r="B452" s="7"/>
      <c r="C452" s="47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 ht="14.25" customHeight="1">
      <c r="A453" s="7"/>
      <c r="B453" s="7"/>
      <c r="C453" s="47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 ht="14.25" customHeight="1">
      <c r="A454" s="7"/>
      <c r="B454" s="7"/>
      <c r="C454" s="47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 ht="14.25" customHeight="1">
      <c r="A455" s="7"/>
      <c r="B455" s="7"/>
      <c r="C455" s="47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 ht="14.25" customHeight="1">
      <c r="A456" s="7"/>
      <c r="B456" s="7"/>
      <c r="C456" s="47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 ht="14.25" customHeight="1">
      <c r="A457" s="7"/>
      <c r="B457" s="7"/>
      <c r="C457" s="47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 ht="14.25" customHeight="1">
      <c r="A458" s="7"/>
      <c r="B458" s="7"/>
      <c r="C458" s="47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 ht="14.25" customHeight="1">
      <c r="A459" s="7"/>
      <c r="B459" s="7"/>
      <c r="C459" s="47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 ht="14.25" customHeight="1">
      <c r="A460" s="7"/>
      <c r="B460" s="7"/>
      <c r="C460" s="47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 ht="14.25" customHeight="1">
      <c r="A461" s="7"/>
      <c r="B461" s="7"/>
      <c r="C461" s="47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 ht="14.25" customHeight="1">
      <c r="A462" s="7"/>
      <c r="B462" s="7"/>
      <c r="C462" s="47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 ht="14.25" customHeight="1">
      <c r="A463" s="7"/>
      <c r="B463" s="7"/>
      <c r="C463" s="47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 ht="14.25" customHeight="1">
      <c r="A464" s="7"/>
      <c r="B464" s="7"/>
      <c r="C464" s="47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 ht="14.25" customHeight="1">
      <c r="A465" s="7"/>
      <c r="B465" s="7"/>
      <c r="C465" s="47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 ht="14.25" customHeight="1">
      <c r="A466" s="7"/>
      <c r="B466" s="7"/>
      <c r="C466" s="47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 ht="14.25" customHeight="1">
      <c r="A467" s="7"/>
      <c r="B467" s="7"/>
      <c r="C467" s="47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 ht="14.25" customHeight="1">
      <c r="A468" s="7"/>
      <c r="B468" s="7"/>
      <c r="C468" s="47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 ht="14.25" customHeight="1">
      <c r="A469" s="7"/>
      <c r="B469" s="7"/>
      <c r="C469" s="47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 ht="14.25" customHeight="1">
      <c r="A470" s="7"/>
      <c r="B470" s="7"/>
      <c r="C470" s="47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 ht="14.25" customHeight="1">
      <c r="A471" s="7"/>
      <c r="B471" s="7"/>
      <c r="C471" s="47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 ht="14.25" customHeight="1">
      <c r="A472" s="7"/>
      <c r="B472" s="7"/>
      <c r="C472" s="47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 ht="14.25" customHeight="1">
      <c r="A473" s="7"/>
      <c r="B473" s="7"/>
      <c r="C473" s="47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 ht="14.25" customHeight="1">
      <c r="A474" s="7"/>
      <c r="B474" s="7"/>
      <c r="C474" s="47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 ht="14.25" customHeight="1">
      <c r="A475" s="7"/>
      <c r="B475" s="7"/>
      <c r="C475" s="47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 ht="14.25" customHeight="1">
      <c r="A476" s="7"/>
      <c r="B476" s="7"/>
      <c r="C476" s="47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 ht="14.25" customHeight="1">
      <c r="A477" s="7"/>
      <c r="B477" s="7"/>
      <c r="C477" s="47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 ht="14.25" customHeight="1">
      <c r="A478" s="7"/>
      <c r="B478" s="7"/>
      <c r="C478" s="47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 ht="14.25" customHeight="1">
      <c r="A479" s="7"/>
      <c r="B479" s="7"/>
      <c r="C479" s="47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 ht="14.25" customHeight="1">
      <c r="A480" s="7"/>
      <c r="B480" s="7"/>
      <c r="C480" s="47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 ht="14.25" customHeight="1">
      <c r="A481" s="7"/>
      <c r="B481" s="7"/>
      <c r="C481" s="47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 ht="14.25" customHeight="1">
      <c r="A482" s="7"/>
      <c r="B482" s="7"/>
      <c r="C482" s="47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 ht="14.25" customHeight="1">
      <c r="A483" s="7"/>
      <c r="B483" s="7"/>
      <c r="C483" s="47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 ht="14.25" customHeight="1">
      <c r="A484" s="7"/>
      <c r="B484" s="7"/>
      <c r="C484" s="47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 ht="14.25" customHeight="1">
      <c r="A485" s="7"/>
      <c r="B485" s="7"/>
      <c r="C485" s="47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 ht="14.25" customHeight="1">
      <c r="A486" s="7"/>
      <c r="B486" s="7"/>
      <c r="C486" s="47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 ht="14.25" customHeight="1">
      <c r="A487" s="7"/>
      <c r="B487" s="7"/>
      <c r="C487" s="47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 ht="14.25" customHeight="1">
      <c r="A488" s="7"/>
      <c r="B488" s="7"/>
      <c r="C488" s="47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 ht="14.25" customHeight="1">
      <c r="A489" s="7"/>
      <c r="B489" s="7"/>
      <c r="C489" s="47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 ht="14.25" customHeight="1">
      <c r="A490" s="7"/>
      <c r="B490" s="7"/>
      <c r="C490" s="47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 ht="14.25" customHeight="1">
      <c r="A491" s="7"/>
      <c r="B491" s="7"/>
      <c r="C491" s="47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 ht="14.25" customHeight="1">
      <c r="A492" s="7"/>
      <c r="B492" s="7"/>
      <c r="C492" s="47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 ht="14.25" customHeight="1">
      <c r="A493" s="7"/>
      <c r="B493" s="7"/>
      <c r="C493" s="47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 ht="14.25" customHeight="1">
      <c r="A494" s="7"/>
      <c r="B494" s="7"/>
      <c r="C494" s="47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 ht="14.25" customHeight="1">
      <c r="A495" s="7"/>
      <c r="B495" s="7"/>
      <c r="C495" s="47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 ht="14.25" customHeight="1">
      <c r="A496" s="7"/>
      <c r="B496" s="7"/>
      <c r="C496" s="47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 ht="14.25" customHeight="1">
      <c r="A497" s="7"/>
      <c r="B497" s="7"/>
      <c r="C497" s="47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 ht="14.25" customHeight="1">
      <c r="A498" s="7"/>
      <c r="B498" s="7"/>
      <c r="C498" s="47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 ht="14.25" customHeight="1">
      <c r="A499" s="7"/>
      <c r="B499" s="7"/>
      <c r="C499" s="47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 ht="14.25" customHeight="1">
      <c r="A500" s="7"/>
      <c r="B500" s="7"/>
      <c r="C500" s="47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 ht="14.25" customHeight="1">
      <c r="A501" s="7"/>
      <c r="B501" s="7"/>
      <c r="C501" s="47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 ht="14.25" customHeight="1">
      <c r="A502" s="7"/>
      <c r="B502" s="7"/>
      <c r="C502" s="47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 ht="14.25" customHeight="1">
      <c r="A503" s="7"/>
      <c r="B503" s="7"/>
      <c r="C503" s="47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 ht="14.25" customHeight="1">
      <c r="A504" s="7"/>
      <c r="B504" s="7"/>
      <c r="C504" s="47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 ht="14.25" customHeight="1">
      <c r="A505" s="7"/>
      <c r="B505" s="7"/>
      <c r="C505" s="47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 ht="14.25" customHeight="1">
      <c r="A506" s="7"/>
      <c r="B506" s="7"/>
      <c r="C506" s="47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 ht="14.25" customHeight="1">
      <c r="A507" s="7"/>
      <c r="B507" s="7"/>
      <c r="C507" s="47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 ht="14.25" customHeight="1">
      <c r="A508" s="7"/>
      <c r="B508" s="7"/>
      <c r="C508" s="47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 ht="14.25" customHeight="1">
      <c r="A509" s="7"/>
      <c r="B509" s="7"/>
      <c r="C509" s="47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 ht="14.25" customHeight="1">
      <c r="A510" s="7"/>
      <c r="B510" s="7"/>
      <c r="C510" s="47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 ht="14.25" customHeight="1">
      <c r="A511" s="7"/>
      <c r="B511" s="7"/>
      <c r="C511" s="47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 ht="14.25" customHeight="1">
      <c r="A512" s="7"/>
      <c r="B512" s="7"/>
      <c r="C512" s="47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 ht="14.25" customHeight="1">
      <c r="A513" s="7"/>
      <c r="B513" s="7"/>
      <c r="C513" s="47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 ht="14.25" customHeight="1">
      <c r="A514" s="7"/>
      <c r="B514" s="7"/>
      <c r="C514" s="47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 ht="14.25" customHeight="1">
      <c r="A515" s="7"/>
      <c r="B515" s="7"/>
      <c r="C515" s="47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 ht="14.25" customHeight="1">
      <c r="A516" s="7"/>
      <c r="B516" s="7"/>
      <c r="C516" s="47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 ht="14.25" customHeight="1">
      <c r="A517" s="7"/>
      <c r="B517" s="7"/>
      <c r="C517" s="47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 ht="14.25" customHeight="1">
      <c r="A518" s="7"/>
      <c r="B518" s="7"/>
      <c r="C518" s="47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 ht="14.25" customHeight="1">
      <c r="A519" s="7"/>
      <c r="B519" s="7"/>
      <c r="C519" s="47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 ht="14.25" customHeight="1">
      <c r="A520" s="7"/>
      <c r="B520" s="7"/>
      <c r="C520" s="47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 ht="14.25" customHeight="1">
      <c r="A521" s="7"/>
      <c r="B521" s="7"/>
      <c r="C521" s="47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 ht="14.25" customHeight="1">
      <c r="A522" s="7"/>
      <c r="B522" s="7"/>
      <c r="C522" s="47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 ht="14.25" customHeight="1">
      <c r="A523" s="7"/>
      <c r="B523" s="7"/>
      <c r="C523" s="47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 ht="14.25" customHeight="1">
      <c r="A524" s="7"/>
      <c r="B524" s="7"/>
      <c r="C524" s="47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 ht="14.25" customHeight="1">
      <c r="A525" s="7"/>
      <c r="B525" s="7"/>
      <c r="C525" s="47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 ht="14.25" customHeight="1">
      <c r="A526" s="7"/>
      <c r="B526" s="7"/>
      <c r="C526" s="47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 ht="14.25" customHeight="1">
      <c r="A527" s="7"/>
      <c r="B527" s="7"/>
      <c r="C527" s="47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 ht="14.25" customHeight="1">
      <c r="A528" s="7"/>
      <c r="B528" s="7"/>
      <c r="C528" s="47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 ht="14.25" customHeight="1">
      <c r="A529" s="7"/>
      <c r="B529" s="7"/>
      <c r="C529" s="47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 ht="14.25" customHeight="1">
      <c r="A530" s="7"/>
      <c r="B530" s="7"/>
      <c r="C530" s="47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 ht="14.25" customHeight="1">
      <c r="A531" s="7"/>
      <c r="B531" s="7"/>
      <c r="C531" s="47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 ht="14.25" customHeight="1">
      <c r="A532" s="7"/>
      <c r="B532" s="7"/>
      <c r="C532" s="47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 ht="14.25" customHeight="1">
      <c r="A533" s="7"/>
      <c r="B533" s="7"/>
      <c r="C533" s="47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 ht="14.25" customHeight="1">
      <c r="A534" s="7"/>
      <c r="B534" s="7"/>
      <c r="C534" s="47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 ht="14.25" customHeight="1">
      <c r="A535" s="7"/>
      <c r="B535" s="7"/>
      <c r="C535" s="47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 ht="14.25" customHeight="1">
      <c r="A536" s="7"/>
      <c r="B536" s="7"/>
      <c r="C536" s="47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 ht="14.25" customHeight="1">
      <c r="A537" s="7"/>
      <c r="B537" s="7"/>
      <c r="C537" s="47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 ht="14.25" customHeight="1">
      <c r="A538" s="7"/>
      <c r="B538" s="7"/>
      <c r="C538" s="47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 ht="14.25" customHeight="1">
      <c r="A539" s="7"/>
      <c r="B539" s="7"/>
      <c r="C539" s="47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 ht="14.25" customHeight="1">
      <c r="A540" s="7"/>
      <c r="B540" s="7"/>
      <c r="C540" s="47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 ht="14.25" customHeight="1">
      <c r="A541" s="7"/>
      <c r="B541" s="7"/>
      <c r="C541" s="47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 ht="14.25" customHeight="1">
      <c r="A542" s="7"/>
      <c r="B542" s="7"/>
      <c r="C542" s="47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 ht="14.25" customHeight="1">
      <c r="A543" s="7"/>
      <c r="B543" s="7"/>
      <c r="C543" s="47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 ht="14.25" customHeight="1">
      <c r="A544" s="7"/>
      <c r="B544" s="7"/>
      <c r="C544" s="47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 ht="14.25" customHeight="1">
      <c r="A545" s="7"/>
      <c r="B545" s="7"/>
      <c r="C545" s="47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 ht="14.25" customHeight="1">
      <c r="A546" s="7"/>
      <c r="B546" s="7"/>
      <c r="C546" s="47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 ht="14.25" customHeight="1">
      <c r="A547" s="7"/>
      <c r="B547" s="7"/>
      <c r="C547" s="47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 ht="14.25" customHeight="1">
      <c r="A548" s="7"/>
      <c r="B548" s="7"/>
      <c r="C548" s="47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 ht="14.25" customHeight="1">
      <c r="A549" s="7"/>
      <c r="B549" s="7"/>
      <c r="C549" s="47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 ht="14.25" customHeight="1">
      <c r="A550" s="7"/>
      <c r="B550" s="7"/>
      <c r="C550" s="47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 ht="14.25" customHeight="1">
      <c r="A551" s="7"/>
      <c r="B551" s="7"/>
      <c r="C551" s="47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 ht="14.25" customHeight="1">
      <c r="A552" s="7"/>
      <c r="B552" s="7"/>
      <c r="C552" s="47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 ht="14.25" customHeight="1">
      <c r="A553" s="7"/>
      <c r="B553" s="7"/>
      <c r="C553" s="47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 ht="14.25" customHeight="1">
      <c r="A554" s="7"/>
      <c r="B554" s="7"/>
      <c r="C554" s="47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 ht="14.25" customHeight="1">
      <c r="A555" s="7"/>
      <c r="B555" s="7"/>
      <c r="C555" s="47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 ht="14.25" customHeight="1">
      <c r="A556" s="7"/>
      <c r="B556" s="7"/>
      <c r="C556" s="47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 ht="14.25" customHeight="1">
      <c r="A557" s="7"/>
      <c r="B557" s="7"/>
      <c r="C557" s="47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 ht="14.25" customHeight="1">
      <c r="A558" s="7"/>
      <c r="B558" s="7"/>
      <c r="C558" s="47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 ht="14.25" customHeight="1">
      <c r="A559" s="7"/>
      <c r="B559" s="7"/>
      <c r="C559" s="47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 ht="14.25" customHeight="1">
      <c r="A560" s="7"/>
      <c r="B560" s="7"/>
      <c r="C560" s="47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 ht="14.25" customHeight="1">
      <c r="A561" s="7"/>
      <c r="B561" s="7"/>
      <c r="C561" s="47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 ht="14.25" customHeight="1">
      <c r="A562" s="7"/>
      <c r="B562" s="7"/>
      <c r="C562" s="47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 ht="14.25" customHeight="1">
      <c r="A563" s="7"/>
      <c r="B563" s="7"/>
      <c r="C563" s="47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 ht="14.25" customHeight="1">
      <c r="A564" s="7"/>
      <c r="B564" s="7"/>
      <c r="C564" s="47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 ht="14.25" customHeight="1">
      <c r="A565" s="7"/>
      <c r="B565" s="7"/>
      <c r="C565" s="47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 ht="14.25" customHeight="1">
      <c r="A566" s="7"/>
      <c r="B566" s="7"/>
      <c r="C566" s="47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 ht="14.25" customHeight="1">
      <c r="A567" s="7"/>
      <c r="B567" s="7"/>
      <c r="C567" s="47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 ht="14.25" customHeight="1">
      <c r="A568" s="7"/>
      <c r="B568" s="7"/>
      <c r="C568" s="47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 ht="14.25" customHeight="1">
      <c r="A569" s="7"/>
      <c r="B569" s="7"/>
      <c r="C569" s="47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 ht="14.25" customHeight="1">
      <c r="A570" s="7"/>
      <c r="B570" s="7"/>
      <c r="C570" s="47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 ht="14.25" customHeight="1">
      <c r="A571" s="7"/>
      <c r="B571" s="7"/>
      <c r="C571" s="47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 ht="14.25" customHeight="1">
      <c r="A572" s="7"/>
      <c r="B572" s="7"/>
      <c r="C572" s="47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 ht="14.25" customHeight="1">
      <c r="A573" s="7"/>
      <c r="B573" s="7"/>
      <c r="C573" s="47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 ht="14.25" customHeight="1">
      <c r="A574" s="7"/>
      <c r="B574" s="7"/>
      <c r="C574" s="47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 ht="14.25" customHeight="1">
      <c r="A575" s="7"/>
      <c r="B575" s="7"/>
      <c r="C575" s="47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 ht="14.25" customHeight="1">
      <c r="A576" s="7"/>
      <c r="B576" s="7"/>
      <c r="C576" s="47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 ht="14.25" customHeight="1">
      <c r="A577" s="7"/>
      <c r="B577" s="7"/>
      <c r="C577" s="47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 ht="14.25" customHeight="1">
      <c r="A578" s="7"/>
      <c r="B578" s="7"/>
      <c r="C578" s="47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 ht="14.25" customHeight="1">
      <c r="A579" s="7"/>
      <c r="B579" s="7"/>
      <c r="C579" s="47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 ht="14.25" customHeight="1">
      <c r="A580" s="7"/>
      <c r="B580" s="7"/>
      <c r="C580" s="47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 ht="14.25" customHeight="1">
      <c r="A581" s="7"/>
      <c r="B581" s="7"/>
      <c r="C581" s="47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 ht="14.25" customHeight="1">
      <c r="A582" s="7"/>
      <c r="B582" s="7"/>
      <c r="C582" s="47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 ht="14.25" customHeight="1">
      <c r="A583" s="7"/>
      <c r="B583" s="7"/>
      <c r="C583" s="47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 ht="14.25" customHeight="1">
      <c r="A584" s="7"/>
      <c r="B584" s="7"/>
      <c r="C584" s="47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 ht="14.25" customHeight="1">
      <c r="A585" s="7"/>
      <c r="B585" s="7"/>
      <c r="C585" s="47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 ht="14.25" customHeight="1">
      <c r="A586" s="7"/>
      <c r="B586" s="7"/>
      <c r="C586" s="47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 ht="14.25" customHeight="1">
      <c r="A587" s="7"/>
      <c r="B587" s="7"/>
      <c r="C587" s="47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 ht="14.25" customHeight="1">
      <c r="A588" s="7"/>
      <c r="B588" s="7"/>
      <c r="C588" s="47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 ht="14.25" customHeight="1">
      <c r="A589" s="7"/>
      <c r="B589" s="7"/>
      <c r="C589" s="47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 ht="14.25" customHeight="1">
      <c r="A590" s="7"/>
      <c r="B590" s="7"/>
      <c r="C590" s="47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 ht="14.25" customHeight="1">
      <c r="A591" s="7"/>
      <c r="B591" s="7"/>
      <c r="C591" s="47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 ht="14.25" customHeight="1">
      <c r="A592" s="7"/>
      <c r="B592" s="7"/>
      <c r="C592" s="47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 ht="14.25" customHeight="1">
      <c r="A593" s="7"/>
      <c r="B593" s="7"/>
      <c r="C593" s="47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 ht="14.25" customHeight="1">
      <c r="A594" s="7"/>
      <c r="B594" s="7"/>
      <c r="C594" s="47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 ht="14.25" customHeight="1">
      <c r="A595" s="7"/>
      <c r="B595" s="7"/>
      <c r="C595" s="47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 ht="14.25" customHeight="1">
      <c r="A596" s="7"/>
      <c r="B596" s="7"/>
      <c r="C596" s="47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 ht="14.25" customHeight="1">
      <c r="A597" s="7"/>
      <c r="B597" s="7"/>
      <c r="C597" s="47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 ht="14.25" customHeight="1">
      <c r="A598" s="7"/>
      <c r="B598" s="7"/>
      <c r="C598" s="47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 ht="14.25" customHeight="1">
      <c r="A599" s="7"/>
      <c r="B599" s="7"/>
      <c r="C599" s="47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 ht="14.25" customHeight="1">
      <c r="A600" s="7"/>
      <c r="B600" s="7"/>
      <c r="C600" s="47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 ht="14.25" customHeight="1">
      <c r="A601" s="7"/>
      <c r="B601" s="7"/>
      <c r="C601" s="47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 ht="14.25" customHeight="1">
      <c r="A602" s="7"/>
      <c r="B602" s="7"/>
      <c r="C602" s="47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 ht="14.25" customHeight="1">
      <c r="A603" s="7"/>
      <c r="B603" s="7"/>
      <c r="C603" s="47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 ht="14.25" customHeight="1">
      <c r="A604" s="7"/>
      <c r="B604" s="7"/>
      <c r="C604" s="47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 ht="14.25" customHeight="1">
      <c r="A605" s="7"/>
      <c r="B605" s="7"/>
      <c r="C605" s="47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 ht="14.25" customHeight="1">
      <c r="A606" s="7"/>
      <c r="B606" s="7"/>
      <c r="C606" s="47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 ht="14.25" customHeight="1">
      <c r="A607" s="7"/>
      <c r="B607" s="7"/>
      <c r="C607" s="47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 ht="14.25" customHeight="1">
      <c r="A608" s="7"/>
      <c r="B608" s="7"/>
      <c r="C608" s="47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 ht="14.25" customHeight="1">
      <c r="A609" s="7"/>
      <c r="B609" s="7"/>
      <c r="C609" s="47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 ht="14.25" customHeight="1">
      <c r="A610" s="7"/>
      <c r="B610" s="7"/>
      <c r="C610" s="47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 ht="14.25" customHeight="1">
      <c r="A611" s="7"/>
      <c r="B611" s="7"/>
      <c r="C611" s="47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 ht="14.25" customHeight="1">
      <c r="A612" s="7"/>
      <c r="B612" s="7"/>
      <c r="C612" s="47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 ht="14.25" customHeight="1">
      <c r="A613" s="7"/>
      <c r="B613" s="7"/>
      <c r="C613" s="47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 ht="14.25" customHeight="1">
      <c r="A614" s="7"/>
      <c r="B614" s="7"/>
      <c r="C614" s="47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 ht="14.25" customHeight="1">
      <c r="A615" s="7"/>
      <c r="B615" s="7"/>
      <c r="C615" s="47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 ht="14.25" customHeight="1">
      <c r="A616" s="7"/>
      <c r="B616" s="7"/>
      <c r="C616" s="47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 ht="14.25" customHeight="1">
      <c r="A617" s="7"/>
      <c r="B617" s="7"/>
      <c r="C617" s="47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 ht="14.25" customHeight="1">
      <c r="A618" s="7"/>
      <c r="B618" s="7"/>
      <c r="C618" s="47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 ht="14.25" customHeight="1">
      <c r="A619" s="7"/>
      <c r="B619" s="7"/>
      <c r="C619" s="47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 ht="14.25" customHeight="1">
      <c r="A620" s="7"/>
      <c r="B620" s="7"/>
      <c r="C620" s="47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 ht="14.25" customHeight="1">
      <c r="A621" s="7"/>
      <c r="B621" s="7"/>
      <c r="C621" s="47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 ht="14.25" customHeight="1">
      <c r="A622" s="7"/>
      <c r="B622" s="7"/>
      <c r="C622" s="47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 ht="14.25" customHeight="1">
      <c r="A623" s="7"/>
      <c r="B623" s="7"/>
      <c r="C623" s="47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 ht="14.25" customHeight="1">
      <c r="A624" s="7"/>
      <c r="B624" s="7"/>
      <c r="C624" s="47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 ht="14.25" customHeight="1">
      <c r="A625" s="7"/>
      <c r="B625" s="7"/>
      <c r="C625" s="47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 ht="14.25" customHeight="1">
      <c r="A626" s="7"/>
      <c r="B626" s="7"/>
      <c r="C626" s="47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 ht="14.25" customHeight="1">
      <c r="A627" s="7"/>
      <c r="B627" s="7"/>
      <c r="C627" s="47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 ht="14.25" customHeight="1">
      <c r="A628" s="7"/>
      <c r="B628" s="7"/>
      <c r="C628" s="47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 ht="14.25" customHeight="1">
      <c r="A629" s="7"/>
      <c r="B629" s="7"/>
      <c r="C629" s="47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 ht="14.25" customHeight="1">
      <c r="A630" s="7"/>
      <c r="B630" s="7"/>
      <c r="C630" s="47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 ht="14.25" customHeight="1">
      <c r="A631" s="7"/>
      <c r="B631" s="7"/>
      <c r="C631" s="47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 ht="14.25" customHeight="1">
      <c r="A632" s="7"/>
      <c r="B632" s="7"/>
      <c r="C632" s="47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 ht="14.25" customHeight="1">
      <c r="A633" s="7"/>
      <c r="B633" s="7"/>
      <c r="C633" s="47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 ht="14.25" customHeight="1">
      <c r="A634" s="7"/>
      <c r="B634" s="7"/>
      <c r="C634" s="47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 ht="14.25" customHeight="1">
      <c r="A635" s="7"/>
      <c r="B635" s="7"/>
      <c r="C635" s="47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 ht="14.25" customHeight="1">
      <c r="A636" s="7"/>
      <c r="B636" s="7"/>
      <c r="C636" s="47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 ht="14.25" customHeight="1">
      <c r="A637" s="7"/>
      <c r="B637" s="7"/>
      <c r="C637" s="47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 ht="14.25" customHeight="1">
      <c r="A638" s="7"/>
      <c r="B638" s="7"/>
      <c r="C638" s="47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 ht="14.25" customHeight="1">
      <c r="A639" s="7"/>
      <c r="B639" s="7"/>
      <c r="C639" s="47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 ht="14.25" customHeight="1">
      <c r="A640" s="7"/>
      <c r="B640" s="7"/>
      <c r="C640" s="47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 ht="14.25" customHeight="1">
      <c r="A641" s="7"/>
      <c r="B641" s="7"/>
      <c r="C641" s="47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 ht="14.25" customHeight="1">
      <c r="A642" s="7"/>
      <c r="B642" s="7"/>
      <c r="C642" s="47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 ht="14.25" customHeight="1">
      <c r="A643" s="7"/>
      <c r="B643" s="7"/>
      <c r="C643" s="47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 ht="14.25" customHeight="1">
      <c r="A644" s="7"/>
      <c r="B644" s="7"/>
      <c r="C644" s="47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 ht="14.25" customHeight="1">
      <c r="A645" s="7"/>
      <c r="B645" s="7"/>
      <c r="C645" s="47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 ht="14.25" customHeight="1">
      <c r="A646" s="7"/>
      <c r="B646" s="7"/>
      <c r="C646" s="47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 ht="14.25" customHeight="1">
      <c r="A647" s="7"/>
      <c r="B647" s="7"/>
      <c r="C647" s="47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 ht="14.25" customHeight="1">
      <c r="A648" s="7"/>
      <c r="B648" s="7"/>
      <c r="C648" s="47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 ht="14.25" customHeight="1">
      <c r="A649" s="7"/>
      <c r="B649" s="7"/>
      <c r="C649" s="47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 ht="14.25" customHeight="1">
      <c r="A650" s="7"/>
      <c r="B650" s="7"/>
      <c r="C650" s="47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 ht="14.25" customHeight="1">
      <c r="A651" s="7"/>
      <c r="B651" s="7"/>
      <c r="C651" s="47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 ht="14.25" customHeight="1">
      <c r="A652" s="7"/>
      <c r="B652" s="7"/>
      <c r="C652" s="47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 ht="14.25" customHeight="1">
      <c r="A653" s="7"/>
      <c r="B653" s="7"/>
      <c r="C653" s="47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 ht="14.25" customHeight="1">
      <c r="A654" s="7"/>
      <c r="B654" s="7"/>
      <c r="C654" s="47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 ht="14.25" customHeight="1">
      <c r="A655" s="7"/>
      <c r="B655" s="7"/>
      <c r="C655" s="47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 ht="14.25" customHeight="1">
      <c r="A656" s="7"/>
      <c r="B656" s="7"/>
      <c r="C656" s="47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 ht="14.25" customHeight="1">
      <c r="A657" s="7"/>
      <c r="B657" s="7"/>
      <c r="C657" s="47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 ht="14.25" customHeight="1">
      <c r="A658" s="7"/>
      <c r="B658" s="7"/>
      <c r="C658" s="47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 ht="14.25" customHeight="1">
      <c r="A659" s="7"/>
      <c r="B659" s="7"/>
      <c r="C659" s="47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 ht="14.25" customHeight="1">
      <c r="A660" s="7"/>
      <c r="B660" s="7"/>
      <c r="C660" s="47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 ht="14.25" customHeight="1">
      <c r="A661" s="7"/>
      <c r="B661" s="7"/>
      <c r="C661" s="47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 ht="14.25" customHeight="1">
      <c r="A662" s="7"/>
      <c r="B662" s="7"/>
      <c r="C662" s="47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 ht="14.25" customHeight="1">
      <c r="A663" s="7"/>
      <c r="B663" s="7"/>
      <c r="C663" s="47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 ht="14.25" customHeight="1">
      <c r="A664" s="7"/>
      <c r="B664" s="7"/>
      <c r="C664" s="47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 ht="14.25" customHeight="1">
      <c r="A665" s="7"/>
      <c r="B665" s="7"/>
      <c r="C665" s="47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 ht="14.25" customHeight="1">
      <c r="A666" s="7"/>
      <c r="B666" s="7"/>
      <c r="C666" s="47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 ht="14.25" customHeight="1">
      <c r="A667" s="7"/>
      <c r="B667" s="7"/>
      <c r="C667" s="47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 ht="14.25" customHeight="1">
      <c r="A668" s="7"/>
      <c r="B668" s="7"/>
      <c r="C668" s="47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 ht="14.25" customHeight="1">
      <c r="A669" s="7"/>
      <c r="B669" s="7"/>
      <c r="C669" s="47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 ht="14.25" customHeight="1">
      <c r="A670" s="7"/>
      <c r="B670" s="7"/>
      <c r="C670" s="47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 ht="14.25" customHeight="1">
      <c r="A671" s="7"/>
      <c r="B671" s="7"/>
      <c r="C671" s="47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 ht="14.25" customHeight="1">
      <c r="A672" s="7"/>
      <c r="B672" s="7"/>
      <c r="C672" s="47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 ht="14.25" customHeight="1">
      <c r="A673" s="7"/>
      <c r="B673" s="7"/>
      <c r="C673" s="47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 ht="14.25" customHeight="1">
      <c r="A674" s="7"/>
      <c r="B674" s="7"/>
      <c r="C674" s="47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 ht="14.25" customHeight="1">
      <c r="A675" s="7"/>
      <c r="B675" s="7"/>
      <c r="C675" s="47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 ht="14.25" customHeight="1">
      <c r="A676" s="7"/>
      <c r="B676" s="7"/>
      <c r="C676" s="47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 ht="14.25" customHeight="1">
      <c r="A677" s="7"/>
      <c r="B677" s="7"/>
      <c r="C677" s="47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 ht="14.25" customHeight="1">
      <c r="A678" s="7"/>
      <c r="B678" s="7"/>
      <c r="C678" s="47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 ht="14.25" customHeight="1">
      <c r="A679" s="7"/>
      <c r="B679" s="7"/>
      <c r="C679" s="47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 ht="14.25" customHeight="1">
      <c r="A680" s="7"/>
      <c r="B680" s="7"/>
      <c r="C680" s="47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 ht="14.25" customHeight="1">
      <c r="A681" s="7"/>
      <c r="B681" s="7"/>
      <c r="C681" s="47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 ht="14.25" customHeight="1">
      <c r="A682" s="7"/>
      <c r="B682" s="7"/>
      <c r="C682" s="47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 ht="14.25" customHeight="1">
      <c r="A683" s="7"/>
      <c r="B683" s="7"/>
      <c r="C683" s="47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 ht="14.25" customHeight="1">
      <c r="A684" s="7"/>
      <c r="B684" s="7"/>
      <c r="C684" s="47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 ht="14.25" customHeight="1">
      <c r="A685" s="7"/>
      <c r="B685" s="7"/>
      <c r="C685" s="47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 ht="14.25" customHeight="1">
      <c r="A686" s="7"/>
      <c r="B686" s="7"/>
      <c r="C686" s="47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 ht="14.25" customHeight="1">
      <c r="A687" s="7"/>
      <c r="B687" s="7"/>
      <c r="C687" s="47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 ht="14.25" customHeight="1">
      <c r="A688" s="7"/>
      <c r="B688" s="7"/>
      <c r="C688" s="47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 ht="14.25" customHeight="1">
      <c r="A689" s="7"/>
      <c r="B689" s="7"/>
      <c r="C689" s="47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 ht="14.25" customHeight="1">
      <c r="A690" s="7"/>
      <c r="B690" s="7"/>
      <c r="C690" s="47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 ht="14.25" customHeight="1">
      <c r="A691" s="7"/>
      <c r="B691" s="7"/>
      <c r="C691" s="47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 ht="14.25" customHeight="1">
      <c r="A692" s="7"/>
      <c r="B692" s="7"/>
      <c r="C692" s="47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 ht="14.25" customHeight="1">
      <c r="A693" s="7"/>
      <c r="B693" s="7"/>
      <c r="C693" s="47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 ht="14.25" customHeight="1">
      <c r="A694" s="7"/>
      <c r="B694" s="7"/>
      <c r="C694" s="47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 ht="14.25" customHeight="1">
      <c r="A695" s="7"/>
      <c r="B695" s="7"/>
      <c r="C695" s="47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 ht="14.25" customHeight="1">
      <c r="A696" s="7"/>
      <c r="B696" s="7"/>
      <c r="C696" s="47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 ht="14.25" customHeight="1">
      <c r="A697" s="7"/>
      <c r="B697" s="7"/>
      <c r="C697" s="47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 ht="14.25" customHeight="1">
      <c r="A698" s="7"/>
      <c r="B698" s="7"/>
      <c r="C698" s="47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 ht="14.25" customHeight="1">
      <c r="A699" s="7"/>
      <c r="B699" s="7"/>
      <c r="C699" s="47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 ht="14.25" customHeight="1">
      <c r="A700" s="7"/>
      <c r="B700" s="7"/>
      <c r="C700" s="47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 ht="14.25" customHeight="1">
      <c r="A701" s="7"/>
      <c r="B701" s="7"/>
      <c r="C701" s="47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 ht="14.25" customHeight="1">
      <c r="A702" s="7"/>
      <c r="B702" s="7"/>
      <c r="C702" s="47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 ht="14.25" customHeight="1">
      <c r="A703" s="7"/>
      <c r="B703" s="7"/>
      <c r="C703" s="47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 ht="14.25" customHeight="1">
      <c r="A704" s="7"/>
      <c r="B704" s="7"/>
      <c r="C704" s="47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 ht="14.25" customHeight="1">
      <c r="A705" s="7"/>
      <c r="B705" s="7"/>
      <c r="C705" s="47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 ht="14.25" customHeight="1">
      <c r="A706" s="7"/>
      <c r="B706" s="7"/>
      <c r="C706" s="47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 ht="14.25" customHeight="1">
      <c r="A707" s="7"/>
      <c r="B707" s="7"/>
      <c r="C707" s="47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 ht="14.25" customHeight="1">
      <c r="A708" s="7"/>
      <c r="B708" s="7"/>
      <c r="C708" s="47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 ht="14.25" customHeight="1">
      <c r="A709" s="7"/>
      <c r="B709" s="7"/>
      <c r="C709" s="47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 ht="14.25" customHeight="1">
      <c r="A710" s="7"/>
      <c r="B710" s="7"/>
      <c r="C710" s="47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 ht="14.25" customHeight="1">
      <c r="A711" s="7"/>
      <c r="B711" s="7"/>
      <c r="C711" s="47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 ht="14.25" customHeight="1">
      <c r="A712" s="7"/>
      <c r="B712" s="7"/>
      <c r="C712" s="47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 ht="14.25" customHeight="1">
      <c r="A713" s="7"/>
      <c r="B713" s="7"/>
      <c r="C713" s="47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 ht="14.25" customHeight="1">
      <c r="A714" s="7"/>
      <c r="B714" s="7"/>
      <c r="C714" s="47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 ht="14.25" customHeight="1">
      <c r="A715" s="7"/>
      <c r="B715" s="7"/>
      <c r="C715" s="47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 ht="14.25" customHeight="1">
      <c r="A716" s="7"/>
      <c r="B716" s="7"/>
      <c r="C716" s="47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 ht="14.25" customHeight="1">
      <c r="A717" s="7"/>
      <c r="B717" s="7"/>
      <c r="C717" s="47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 ht="14.25" customHeight="1">
      <c r="A718" s="7"/>
      <c r="B718" s="7"/>
      <c r="C718" s="47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 ht="14.25" customHeight="1">
      <c r="A719" s="7"/>
      <c r="B719" s="7"/>
      <c r="C719" s="47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 ht="14.25" customHeight="1">
      <c r="A720" s="7"/>
      <c r="B720" s="7"/>
      <c r="C720" s="47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 ht="14.25" customHeight="1">
      <c r="A721" s="7"/>
      <c r="B721" s="7"/>
      <c r="C721" s="47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 ht="14.25" customHeight="1">
      <c r="A722" s="7"/>
      <c r="B722" s="7"/>
      <c r="C722" s="47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 ht="14.25" customHeight="1">
      <c r="A723" s="7"/>
      <c r="B723" s="7"/>
      <c r="C723" s="47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 ht="14.25" customHeight="1">
      <c r="A724" s="7"/>
      <c r="B724" s="7"/>
      <c r="C724" s="47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 ht="14.25" customHeight="1">
      <c r="A725" s="7"/>
      <c r="B725" s="7"/>
      <c r="C725" s="47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 ht="14.25" customHeight="1">
      <c r="A726" s="7"/>
      <c r="B726" s="7"/>
      <c r="C726" s="47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 ht="14.25" customHeight="1">
      <c r="A727" s="7"/>
      <c r="B727" s="7"/>
      <c r="C727" s="47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 ht="14.25" customHeight="1">
      <c r="A728" s="7"/>
      <c r="B728" s="7"/>
      <c r="C728" s="47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 ht="14.25" customHeight="1">
      <c r="A729" s="7"/>
      <c r="B729" s="7"/>
      <c r="C729" s="47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 ht="14.25" customHeight="1">
      <c r="A730" s="7"/>
      <c r="B730" s="7"/>
      <c r="C730" s="47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 ht="14.25" customHeight="1">
      <c r="A731" s="7"/>
      <c r="B731" s="7"/>
      <c r="C731" s="47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 ht="14.25" customHeight="1">
      <c r="A732" s="7"/>
      <c r="B732" s="7"/>
      <c r="C732" s="47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 ht="14.25" customHeight="1">
      <c r="A733" s="7"/>
      <c r="B733" s="7"/>
      <c r="C733" s="47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 ht="14.25" customHeight="1">
      <c r="A734" s="7"/>
      <c r="B734" s="7"/>
      <c r="C734" s="47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 ht="14.25" customHeight="1">
      <c r="A735" s="7"/>
      <c r="B735" s="7"/>
      <c r="C735" s="47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 ht="14.25" customHeight="1">
      <c r="A736" s="7"/>
      <c r="B736" s="7"/>
      <c r="C736" s="47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 ht="14.25" customHeight="1">
      <c r="A737" s="7"/>
      <c r="B737" s="7"/>
      <c r="C737" s="47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 ht="14.25" customHeight="1">
      <c r="A738" s="7"/>
      <c r="B738" s="7"/>
      <c r="C738" s="47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 ht="14.25" customHeight="1">
      <c r="A739" s="7"/>
      <c r="B739" s="7"/>
      <c r="C739" s="47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 ht="14.25" customHeight="1">
      <c r="A740" s="7"/>
      <c r="B740" s="7"/>
      <c r="C740" s="47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 ht="14.25" customHeight="1">
      <c r="A741" s="7"/>
      <c r="B741" s="7"/>
      <c r="C741" s="47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 ht="14.25" customHeight="1">
      <c r="A742" s="7"/>
      <c r="B742" s="7"/>
      <c r="C742" s="47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 ht="14.25" customHeight="1">
      <c r="A743" s="7"/>
      <c r="B743" s="7"/>
      <c r="C743" s="47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 ht="14.25" customHeight="1">
      <c r="A744" s="7"/>
      <c r="B744" s="7"/>
      <c r="C744" s="47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 ht="14.25" customHeight="1">
      <c r="A745" s="7"/>
      <c r="B745" s="7"/>
      <c r="C745" s="47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 ht="14.25" customHeight="1">
      <c r="A746" s="7"/>
      <c r="B746" s="7"/>
      <c r="C746" s="47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 ht="14.25" customHeight="1">
      <c r="A747" s="7"/>
      <c r="B747" s="7"/>
      <c r="C747" s="47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 ht="14.25" customHeight="1">
      <c r="A748" s="7"/>
      <c r="B748" s="7"/>
      <c r="C748" s="47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 ht="14.25" customHeight="1">
      <c r="A749" s="7"/>
      <c r="B749" s="7"/>
      <c r="C749" s="47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 ht="14.25" customHeight="1">
      <c r="A750" s="7"/>
      <c r="B750" s="7"/>
      <c r="C750" s="47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 ht="14.25" customHeight="1">
      <c r="A751" s="7"/>
      <c r="B751" s="7"/>
      <c r="C751" s="47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 ht="14.25" customHeight="1">
      <c r="A752" s="7"/>
      <c r="B752" s="7"/>
      <c r="C752" s="47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 ht="14.25" customHeight="1">
      <c r="A753" s="7"/>
      <c r="B753" s="7"/>
      <c r="C753" s="47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 ht="14.25" customHeight="1">
      <c r="A754" s="7"/>
      <c r="B754" s="7"/>
      <c r="C754" s="47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 ht="14.25" customHeight="1">
      <c r="A755" s="7"/>
      <c r="B755" s="7"/>
      <c r="C755" s="47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 ht="14.25" customHeight="1">
      <c r="A756" s="7"/>
      <c r="B756" s="7"/>
      <c r="C756" s="47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 ht="14.25" customHeight="1">
      <c r="A757" s="7"/>
      <c r="B757" s="7"/>
      <c r="C757" s="47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 ht="14.25" customHeight="1">
      <c r="A758" s="7"/>
      <c r="B758" s="7"/>
      <c r="C758" s="47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 ht="14.25" customHeight="1">
      <c r="A759" s="7"/>
      <c r="B759" s="7"/>
      <c r="C759" s="47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 ht="14.25" customHeight="1">
      <c r="A760" s="7"/>
      <c r="B760" s="7"/>
      <c r="C760" s="47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 ht="14.25" customHeight="1">
      <c r="A761" s="7"/>
      <c r="B761" s="7"/>
      <c r="C761" s="47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 ht="14.25" customHeight="1">
      <c r="A762" s="7"/>
      <c r="B762" s="7"/>
      <c r="C762" s="47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 ht="14.25" customHeight="1">
      <c r="A763" s="7"/>
      <c r="B763" s="7"/>
      <c r="C763" s="47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 ht="14.25" customHeight="1">
      <c r="A764" s="7"/>
      <c r="B764" s="7"/>
      <c r="C764" s="47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 ht="14.25" customHeight="1">
      <c r="A765" s="7"/>
      <c r="B765" s="7"/>
      <c r="C765" s="47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 ht="14.25" customHeight="1">
      <c r="A766" s="7"/>
      <c r="B766" s="7"/>
      <c r="C766" s="47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 ht="14.25" customHeight="1">
      <c r="A767" s="7"/>
      <c r="B767" s="7"/>
      <c r="C767" s="47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 ht="14.25" customHeight="1">
      <c r="A768" s="7"/>
      <c r="B768" s="7"/>
      <c r="C768" s="47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 ht="14.25" customHeight="1">
      <c r="A769" s="7"/>
      <c r="B769" s="7"/>
      <c r="C769" s="47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 ht="14.25" customHeight="1">
      <c r="A770" s="7"/>
      <c r="B770" s="7"/>
      <c r="C770" s="47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 ht="14.25" customHeight="1">
      <c r="A771" s="7"/>
      <c r="B771" s="7"/>
      <c r="C771" s="47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 ht="14.25" customHeight="1">
      <c r="A772" s="7"/>
      <c r="B772" s="7"/>
      <c r="C772" s="47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 ht="14.25" customHeight="1">
      <c r="A773" s="7"/>
      <c r="B773" s="7"/>
      <c r="C773" s="47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 ht="14.25" customHeight="1">
      <c r="A774" s="7"/>
      <c r="B774" s="7"/>
      <c r="C774" s="47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 ht="14.25" customHeight="1">
      <c r="A775" s="7"/>
      <c r="B775" s="7"/>
      <c r="C775" s="47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 ht="14.25" customHeight="1">
      <c r="A776" s="7"/>
      <c r="B776" s="7"/>
      <c r="C776" s="47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 ht="14.25" customHeight="1">
      <c r="A777" s="7"/>
      <c r="B777" s="7"/>
      <c r="C777" s="47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 ht="14.25" customHeight="1">
      <c r="A778" s="7"/>
      <c r="B778" s="7"/>
      <c r="C778" s="47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 ht="14.25" customHeight="1">
      <c r="A779" s="7"/>
      <c r="B779" s="7"/>
      <c r="C779" s="47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 ht="14.25" customHeight="1">
      <c r="A780" s="7"/>
      <c r="B780" s="7"/>
      <c r="C780" s="47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 ht="14.25" customHeight="1">
      <c r="A781" s="7"/>
      <c r="B781" s="7"/>
      <c r="C781" s="47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 ht="14.25" customHeight="1">
      <c r="A782" s="7"/>
      <c r="B782" s="7"/>
      <c r="C782" s="47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 ht="14.25" customHeight="1">
      <c r="A783" s="7"/>
      <c r="B783" s="7"/>
      <c r="C783" s="47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 ht="14.25" customHeight="1">
      <c r="A784" s="7"/>
      <c r="B784" s="7"/>
      <c r="C784" s="47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 ht="14.25" customHeight="1">
      <c r="A785" s="7"/>
      <c r="B785" s="7"/>
      <c r="C785" s="47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 ht="14.25" customHeight="1">
      <c r="A786" s="7"/>
      <c r="B786" s="7"/>
      <c r="C786" s="47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 ht="14.25" customHeight="1">
      <c r="A787" s="7"/>
      <c r="B787" s="7"/>
      <c r="C787" s="47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 ht="14.25" customHeight="1">
      <c r="A788" s="7"/>
      <c r="B788" s="7"/>
      <c r="C788" s="47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 ht="14.25" customHeight="1">
      <c r="A789" s="7"/>
      <c r="B789" s="7"/>
      <c r="C789" s="47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 ht="14.25" customHeight="1">
      <c r="A790" s="7"/>
      <c r="B790" s="7"/>
      <c r="C790" s="47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 ht="14.25" customHeight="1">
      <c r="A791" s="7"/>
      <c r="B791" s="7"/>
      <c r="C791" s="47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 ht="14.25" customHeight="1">
      <c r="A792" s="7"/>
      <c r="B792" s="7"/>
      <c r="C792" s="47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 ht="14.25" customHeight="1">
      <c r="A793" s="7"/>
      <c r="B793" s="7"/>
      <c r="C793" s="47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 ht="14.25" customHeight="1">
      <c r="A794" s="7"/>
      <c r="B794" s="7"/>
      <c r="C794" s="47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 ht="14.25" customHeight="1">
      <c r="A795" s="7"/>
      <c r="B795" s="7"/>
      <c r="C795" s="47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 ht="14.25" customHeight="1">
      <c r="A796" s="7"/>
      <c r="B796" s="7"/>
      <c r="C796" s="47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 ht="14.25" customHeight="1">
      <c r="A797" s="7"/>
      <c r="B797" s="7"/>
      <c r="C797" s="47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 ht="14.25" customHeight="1">
      <c r="A798" s="7"/>
      <c r="B798" s="7"/>
      <c r="C798" s="47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 ht="14.25" customHeight="1">
      <c r="A799" s="7"/>
      <c r="B799" s="7"/>
      <c r="C799" s="47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 ht="14.25" customHeight="1">
      <c r="A800" s="7"/>
      <c r="B800" s="7"/>
      <c r="C800" s="47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 ht="14.25" customHeight="1">
      <c r="A801" s="7"/>
      <c r="B801" s="7"/>
      <c r="C801" s="47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 ht="14.25" customHeight="1">
      <c r="A802" s="7"/>
      <c r="B802" s="7"/>
      <c r="C802" s="47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 ht="14.25" customHeight="1">
      <c r="A803" s="7"/>
      <c r="B803" s="7"/>
      <c r="C803" s="47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 ht="14.25" customHeight="1">
      <c r="A804" s="7"/>
      <c r="B804" s="7"/>
      <c r="C804" s="47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 ht="14.25" customHeight="1">
      <c r="A805" s="7"/>
      <c r="B805" s="7"/>
      <c r="C805" s="47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 ht="14.25" customHeight="1">
      <c r="A806" s="7"/>
      <c r="B806" s="7"/>
      <c r="C806" s="47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 ht="14.25" customHeight="1">
      <c r="A807" s="7"/>
      <c r="B807" s="7"/>
      <c r="C807" s="47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 ht="14.25" customHeight="1">
      <c r="A808" s="7"/>
      <c r="B808" s="7"/>
      <c r="C808" s="47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 ht="14.25" customHeight="1">
      <c r="A809" s="7"/>
      <c r="B809" s="7"/>
      <c r="C809" s="47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 ht="14.25" customHeight="1">
      <c r="A810" s="7"/>
      <c r="B810" s="7"/>
      <c r="C810" s="47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 ht="14.25" customHeight="1">
      <c r="A811" s="7"/>
      <c r="B811" s="7"/>
      <c r="C811" s="47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 ht="14.25" customHeight="1">
      <c r="A812" s="7"/>
      <c r="B812" s="7"/>
      <c r="C812" s="47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 ht="14.25" customHeight="1">
      <c r="A813" s="7"/>
      <c r="B813" s="7"/>
      <c r="C813" s="47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 ht="14.25" customHeight="1">
      <c r="A814" s="7"/>
      <c r="B814" s="7"/>
      <c r="C814" s="47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 ht="14.25" customHeight="1">
      <c r="A815" s="7"/>
      <c r="B815" s="7"/>
      <c r="C815" s="47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 ht="14.25" customHeight="1">
      <c r="A816" s="7"/>
      <c r="B816" s="7"/>
      <c r="C816" s="47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 ht="14.25" customHeight="1">
      <c r="A817" s="7"/>
      <c r="B817" s="7"/>
      <c r="C817" s="47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 ht="14.25" customHeight="1">
      <c r="A818" s="7"/>
      <c r="B818" s="7"/>
      <c r="C818" s="47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 ht="14.25" customHeight="1">
      <c r="A819" s="7"/>
      <c r="B819" s="7"/>
      <c r="C819" s="47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 ht="14.25" customHeight="1">
      <c r="A820" s="7"/>
      <c r="B820" s="7"/>
      <c r="C820" s="47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 ht="14.25" customHeight="1">
      <c r="A821" s="7"/>
      <c r="B821" s="7"/>
      <c r="C821" s="47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 ht="14.25" customHeight="1">
      <c r="A822" s="7"/>
      <c r="B822" s="7"/>
      <c r="C822" s="47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 ht="14.25" customHeight="1">
      <c r="A823" s="7"/>
      <c r="B823" s="7"/>
      <c r="C823" s="47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 ht="14.25" customHeight="1">
      <c r="A824" s="7"/>
      <c r="B824" s="7"/>
      <c r="C824" s="47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 ht="14.25" customHeight="1">
      <c r="A825" s="7"/>
      <c r="B825" s="7"/>
      <c r="C825" s="47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 ht="14.25" customHeight="1">
      <c r="A826" s="7"/>
      <c r="B826" s="7"/>
      <c r="C826" s="47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 ht="14.25" customHeight="1">
      <c r="A827" s="7"/>
      <c r="B827" s="7"/>
      <c r="C827" s="47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 ht="14.25" customHeight="1">
      <c r="A828" s="7"/>
      <c r="B828" s="7"/>
      <c r="C828" s="47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 ht="14.25" customHeight="1">
      <c r="A829" s="7"/>
      <c r="B829" s="7"/>
      <c r="C829" s="47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 ht="14.25" customHeight="1">
      <c r="A830" s="7"/>
      <c r="B830" s="7"/>
      <c r="C830" s="47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 ht="14.25" customHeight="1">
      <c r="A831" s="7"/>
      <c r="B831" s="7"/>
      <c r="C831" s="47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 ht="14.25" customHeight="1">
      <c r="A832" s="7"/>
      <c r="B832" s="7"/>
      <c r="C832" s="47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 ht="14.25" customHeight="1">
      <c r="A833" s="7"/>
      <c r="B833" s="7"/>
      <c r="C833" s="47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 ht="14.25" customHeight="1">
      <c r="A834" s="7"/>
      <c r="B834" s="7"/>
      <c r="C834" s="47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 ht="14.25" customHeight="1">
      <c r="A835" s="7"/>
      <c r="B835" s="7"/>
      <c r="C835" s="47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 ht="14.25" customHeight="1">
      <c r="A836" s="7"/>
      <c r="B836" s="7"/>
      <c r="C836" s="47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 ht="14.25" customHeight="1">
      <c r="A837" s="7"/>
      <c r="B837" s="7"/>
      <c r="C837" s="47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 ht="14.25" customHeight="1">
      <c r="A838" s="7"/>
      <c r="B838" s="7"/>
      <c r="C838" s="47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 ht="14.25" customHeight="1">
      <c r="A839" s="7"/>
      <c r="B839" s="7"/>
      <c r="C839" s="47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 ht="14.25" customHeight="1">
      <c r="A840" s="7"/>
      <c r="B840" s="7"/>
      <c r="C840" s="47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 ht="14.25" customHeight="1">
      <c r="A841" s="7"/>
      <c r="B841" s="7"/>
      <c r="C841" s="47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 ht="14.25" customHeight="1">
      <c r="A842" s="7"/>
      <c r="B842" s="7"/>
      <c r="C842" s="47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 ht="14.25" customHeight="1">
      <c r="A843" s="7"/>
      <c r="B843" s="7"/>
      <c r="C843" s="47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 ht="14.25" customHeight="1">
      <c r="A844" s="7"/>
      <c r="B844" s="7"/>
      <c r="C844" s="47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 ht="14.25" customHeight="1">
      <c r="A845" s="7"/>
      <c r="B845" s="7"/>
      <c r="C845" s="47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 ht="14.25" customHeight="1">
      <c r="A846" s="7"/>
      <c r="B846" s="7"/>
      <c r="C846" s="47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 ht="14.25" customHeight="1">
      <c r="A847" s="7"/>
      <c r="B847" s="7"/>
      <c r="C847" s="47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 ht="14.25" customHeight="1">
      <c r="A848" s="7"/>
      <c r="B848" s="7"/>
      <c r="C848" s="47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 ht="14.25" customHeight="1">
      <c r="A849" s="7"/>
      <c r="B849" s="7"/>
      <c r="C849" s="47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 ht="14.25" customHeight="1">
      <c r="A850" s="7"/>
      <c r="B850" s="7"/>
      <c r="C850" s="47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 ht="14.25" customHeight="1">
      <c r="A851" s="7"/>
      <c r="B851" s="7"/>
      <c r="C851" s="47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 ht="14.25" customHeight="1">
      <c r="A852" s="7"/>
      <c r="B852" s="7"/>
      <c r="C852" s="47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 ht="14.25" customHeight="1">
      <c r="A853" s="7"/>
      <c r="B853" s="7"/>
      <c r="C853" s="47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 ht="14.25" customHeight="1">
      <c r="A854" s="7"/>
      <c r="B854" s="7"/>
      <c r="C854" s="47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 ht="14.25" customHeight="1">
      <c r="A855" s="7"/>
      <c r="B855" s="7"/>
      <c r="C855" s="47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 ht="14.25" customHeight="1">
      <c r="A856" s="7"/>
      <c r="B856" s="7"/>
      <c r="C856" s="47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 ht="14.25" customHeight="1">
      <c r="A857" s="7"/>
      <c r="B857" s="7"/>
      <c r="C857" s="47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 ht="14.25" customHeight="1">
      <c r="A858" s="7"/>
      <c r="B858" s="7"/>
      <c r="C858" s="47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 ht="14.25" customHeight="1">
      <c r="A859" s="7"/>
      <c r="B859" s="7"/>
      <c r="C859" s="47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 ht="14.25" customHeight="1">
      <c r="A860" s="7"/>
      <c r="B860" s="7"/>
      <c r="C860" s="47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 ht="14.25" customHeight="1">
      <c r="A861" s="7"/>
      <c r="B861" s="7"/>
      <c r="C861" s="47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 ht="14.25" customHeight="1">
      <c r="A862" s="7"/>
      <c r="B862" s="7"/>
      <c r="C862" s="47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 ht="14.25" customHeight="1">
      <c r="A863" s="7"/>
      <c r="B863" s="7"/>
      <c r="C863" s="47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 ht="14.25" customHeight="1">
      <c r="A864" s="7"/>
      <c r="B864" s="7"/>
      <c r="C864" s="47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 ht="14.25" customHeight="1">
      <c r="A865" s="7"/>
      <c r="B865" s="7"/>
      <c r="C865" s="47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 ht="14.25" customHeight="1">
      <c r="A866" s="7"/>
      <c r="B866" s="7"/>
      <c r="C866" s="47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 ht="14.25" customHeight="1">
      <c r="A867" s="7"/>
      <c r="B867" s="7"/>
      <c r="C867" s="47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 ht="14.25" customHeight="1">
      <c r="A868" s="7"/>
      <c r="B868" s="7"/>
      <c r="C868" s="47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 ht="14.25" customHeight="1">
      <c r="A869" s="7"/>
      <c r="B869" s="7"/>
      <c r="C869" s="47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 ht="14.25" customHeight="1">
      <c r="A870" s="7"/>
      <c r="B870" s="7"/>
      <c r="C870" s="47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 ht="14.25" customHeight="1">
      <c r="A871" s="7"/>
      <c r="B871" s="7"/>
      <c r="C871" s="47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 ht="14.25" customHeight="1">
      <c r="A872" s="7"/>
      <c r="B872" s="7"/>
      <c r="C872" s="47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 ht="14.25" customHeight="1">
      <c r="A873" s="7"/>
      <c r="B873" s="7"/>
      <c r="C873" s="47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 ht="14.25" customHeight="1">
      <c r="A874" s="7"/>
      <c r="B874" s="7"/>
      <c r="C874" s="47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 ht="14.25" customHeight="1">
      <c r="A875" s="7"/>
      <c r="B875" s="7"/>
      <c r="C875" s="47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 ht="14.25" customHeight="1">
      <c r="A876" s="7"/>
      <c r="B876" s="7"/>
      <c r="C876" s="47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 ht="14.25" customHeight="1">
      <c r="A877" s="7"/>
      <c r="B877" s="7"/>
      <c r="C877" s="47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 ht="14.25" customHeight="1">
      <c r="A878" s="7"/>
      <c r="B878" s="7"/>
      <c r="C878" s="47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 ht="14.25" customHeight="1">
      <c r="A879" s="7"/>
      <c r="B879" s="7"/>
      <c r="C879" s="47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 ht="14.25" customHeight="1">
      <c r="A880" s="7"/>
      <c r="B880" s="7"/>
      <c r="C880" s="47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 ht="14.25" customHeight="1">
      <c r="A881" s="7"/>
      <c r="B881" s="7"/>
      <c r="C881" s="47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 ht="14.25" customHeight="1">
      <c r="A882" s="7"/>
      <c r="B882" s="7"/>
      <c r="C882" s="47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 ht="14.25" customHeight="1">
      <c r="A883" s="7"/>
      <c r="B883" s="7"/>
      <c r="C883" s="47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 ht="14.25" customHeight="1">
      <c r="A884" s="7"/>
      <c r="B884" s="7"/>
      <c r="C884" s="47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 ht="14.25" customHeight="1">
      <c r="A885" s="7"/>
      <c r="B885" s="7"/>
      <c r="C885" s="47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 ht="14.25" customHeight="1">
      <c r="A886" s="7"/>
      <c r="B886" s="7"/>
      <c r="C886" s="47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 ht="14.25" customHeight="1">
      <c r="A887" s="7"/>
      <c r="B887" s="7"/>
      <c r="C887" s="47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 ht="14.25" customHeight="1">
      <c r="A888" s="7"/>
      <c r="B888" s="7"/>
      <c r="C888" s="47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 ht="14.25" customHeight="1">
      <c r="A889" s="7"/>
      <c r="B889" s="7"/>
      <c r="C889" s="47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 ht="14.25" customHeight="1">
      <c r="A890" s="7"/>
      <c r="B890" s="7"/>
      <c r="C890" s="47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 ht="14.25" customHeight="1">
      <c r="A891" s="7"/>
      <c r="B891" s="7"/>
      <c r="C891" s="47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 ht="14.25" customHeight="1">
      <c r="A892" s="7"/>
      <c r="B892" s="7"/>
      <c r="C892" s="47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 ht="14.25" customHeight="1">
      <c r="A893" s="7"/>
      <c r="B893" s="7"/>
      <c r="C893" s="47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 ht="14.25" customHeight="1">
      <c r="A894" s="7"/>
      <c r="B894" s="7"/>
      <c r="C894" s="47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 ht="14.25" customHeight="1">
      <c r="A895" s="7"/>
      <c r="B895" s="7"/>
      <c r="C895" s="47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 ht="14.25" customHeight="1">
      <c r="A896" s="7"/>
      <c r="B896" s="7"/>
      <c r="C896" s="47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 ht="14.25" customHeight="1">
      <c r="A897" s="7"/>
      <c r="B897" s="7"/>
      <c r="C897" s="47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 ht="14.25" customHeight="1">
      <c r="A898" s="7"/>
      <c r="B898" s="7"/>
      <c r="C898" s="47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 ht="14.25" customHeight="1">
      <c r="A899" s="7"/>
      <c r="B899" s="7"/>
      <c r="C899" s="47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 ht="14.25" customHeight="1">
      <c r="A900" s="7"/>
      <c r="B900" s="7"/>
      <c r="C900" s="47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 ht="14.25" customHeight="1">
      <c r="A901" s="7"/>
      <c r="B901" s="7"/>
      <c r="C901" s="47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 ht="14.25" customHeight="1">
      <c r="A902" s="7"/>
      <c r="B902" s="7"/>
      <c r="C902" s="47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 ht="14.25" customHeight="1">
      <c r="A903" s="7"/>
      <c r="B903" s="7"/>
      <c r="C903" s="47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 ht="14.25" customHeight="1">
      <c r="A904" s="7"/>
      <c r="B904" s="7"/>
      <c r="C904" s="47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 ht="14.25" customHeight="1">
      <c r="A905" s="7"/>
      <c r="B905" s="7"/>
      <c r="C905" s="47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 ht="14.25" customHeight="1">
      <c r="A906" s="7"/>
      <c r="B906" s="7"/>
      <c r="C906" s="47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 ht="14.25" customHeight="1">
      <c r="A907" s="7"/>
      <c r="B907" s="7"/>
      <c r="C907" s="47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 ht="14.25" customHeight="1">
      <c r="A908" s="7"/>
      <c r="B908" s="7"/>
      <c r="C908" s="47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 ht="14.25" customHeight="1">
      <c r="A909" s="7"/>
      <c r="B909" s="7"/>
      <c r="C909" s="47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 ht="14.25" customHeight="1">
      <c r="A910" s="7"/>
      <c r="B910" s="7"/>
      <c r="C910" s="47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 ht="14.25" customHeight="1">
      <c r="A911" s="7"/>
      <c r="B911" s="7"/>
      <c r="C911" s="47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 ht="14.25" customHeight="1">
      <c r="A912" s="7"/>
      <c r="B912" s="7"/>
      <c r="C912" s="47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 ht="14.25" customHeight="1">
      <c r="A913" s="7"/>
      <c r="B913" s="7"/>
      <c r="C913" s="47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 ht="14.25" customHeight="1">
      <c r="A914" s="7"/>
      <c r="B914" s="7"/>
      <c r="C914" s="47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 ht="14.25" customHeight="1">
      <c r="A915" s="7"/>
      <c r="B915" s="7"/>
      <c r="C915" s="47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 ht="14.25" customHeight="1">
      <c r="A916" s="7"/>
      <c r="B916" s="7"/>
      <c r="C916" s="47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 ht="14.25" customHeight="1">
      <c r="A917" s="7"/>
      <c r="B917" s="7"/>
      <c r="C917" s="47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 ht="14.25" customHeight="1">
      <c r="A918" s="7"/>
      <c r="B918" s="7"/>
      <c r="C918" s="47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 ht="14.25" customHeight="1">
      <c r="A919" s="7"/>
      <c r="B919" s="7"/>
      <c r="C919" s="47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 ht="14.25" customHeight="1">
      <c r="A920" s="7"/>
      <c r="B920" s="7"/>
      <c r="C920" s="47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 ht="14.25" customHeight="1">
      <c r="A921" s="7"/>
      <c r="B921" s="7"/>
      <c r="C921" s="47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 ht="14.25" customHeight="1">
      <c r="A922" s="7"/>
      <c r="B922" s="7"/>
      <c r="C922" s="47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 ht="14.25" customHeight="1">
      <c r="A923" s="7"/>
      <c r="B923" s="7"/>
      <c r="C923" s="47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 ht="14.25" customHeight="1">
      <c r="A924" s="7"/>
      <c r="B924" s="7"/>
      <c r="C924" s="47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 ht="14.25" customHeight="1">
      <c r="A925" s="7"/>
      <c r="B925" s="7"/>
      <c r="C925" s="47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 ht="14.25" customHeight="1">
      <c r="A926" s="7"/>
      <c r="B926" s="7"/>
      <c r="C926" s="47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 ht="14.25" customHeight="1">
      <c r="A927" s="7"/>
      <c r="B927" s="7"/>
      <c r="C927" s="47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 ht="14.25" customHeight="1">
      <c r="A928" s="7"/>
      <c r="B928" s="7"/>
      <c r="C928" s="47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 ht="14.25" customHeight="1">
      <c r="A929" s="7"/>
      <c r="B929" s="7"/>
      <c r="C929" s="47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 ht="14.25" customHeight="1">
      <c r="A930" s="7"/>
      <c r="B930" s="7"/>
      <c r="C930" s="47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 ht="14.25" customHeight="1">
      <c r="A931" s="7"/>
      <c r="B931" s="7"/>
      <c r="C931" s="47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 ht="14.25" customHeight="1">
      <c r="A932" s="7"/>
      <c r="B932" s="7"/>
      <c r="C932" s="47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 ht="14.25" customHeight="1">
      <c r="A933" s="7"/>
      <c r="B933" s="7"/>
      <c r="C933" s="47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 ht="14.25" customHeight="1">
      <c r="A934" s="7"/>
      <c r="B934" s="7"/>
      <c r="C934" s="47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 ht="14.25" customHeight="1">
      <c r="A935" s="7"/>
      <c r="B935" s="7"/>
      <c r="C935" s="47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 ht="14.25" customHeight="1">
      <c r="A936" s="7"/>
      <c r="B936" s="7"/>
      <c r="C936" s="47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 ht="14.25" customHeight="1">
      <c r="A937" s="7"/>
      <c r="B937" s="7"/>
      <c r="C937" s="47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 ht="14.25" customHeight="1">
      <c r="A938" s="7"/>
      <c r="B938" s="7"/>
      <c r="C938" s="47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 ht="14.25" customHeight="1">
      <c r="A939" s="7"/>
      <c r="B939" s="7"/>
      <c r="C939" s="47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 ht="14.25" customHeight="1">
      <c r="A940" s="7"/>
      <c r="B940" s="7"/>
      <c r="C940" s="47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 ht="14.25" customHeight="1">
      <c r="A941" s="7"/>
      <c r="B941" s="7"/>
      <c r="C941" s="47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 ht="14.25" customHeight="1">
      <c r="A942" s="7"/>
      <c r="B942" s="7"/>
      <c r="C942" s="47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 ht="14.25" customHeight="1">
      <c r="A943" s="7"/>
      <c r="B943" s="7"/>
      <c r="C943" s="47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 ht="14.25" customHeight="1">
      <c r="A944" s="7"/>
      <c r="B944" s="7"/>
      <c r="C944" s="47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 ht="14.25" customHeight="1">
      <c r="A945" s="7"/>
      <c r="B945" s="7"/>
      <c r="C945" s="47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 ht="14.25" customHeight="1">
      <c r="A946" s="7"/>
      <c r="B946" s="7"/>
      <c r="C946" s="47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 ht="14.25" customHeight="1">
      <c r="A947" s="7"/>
      <c r="B947" s="7"/>
      <c r="C947" s="47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 ht="14.25" customHeight="1">
      <c r="A948" s="7"/>
      <c r="B948" s="7"/>
      <c r="C948" s="47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 ht="14.25" customHeight="1">
      <c r="A949" s="7"/>
      <c r="B949" s="7"/>
      <c r="C949" s="47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 ht="14.25" customHeight="1">
      <c r="A950" s="7"/>
      <c r="B950" s="7"/>
      <c r="C950" s="47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 ht="14.25" customHeight="1">
      <c r="A951" s="7"/>
      <c r="B951" s="7"/>
      <c r="C951" s="47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 ht="14.25" customHeight="1">
      <c r="A952" s="7"/>
      <c r="B952" s="7"/>
      <c r="C952" s="47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 ht="14.25" customHeight="1">
      <c r="A953" s="7"/>
      <c r="B953" s="7"/>
      <c r="C953" s="47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 ht="14.25" customHeight="1">
      <c r="A954" s="7"/>
      <c r="B954" s="7"/>
      <c r="C954" s="47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 ht="14.25" customHeight="1">
      <c r="A955" s="7"/>
      <c r="B955" s="7"/>
      <c r="C955" s="47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 ht="14.25" customHeight="1">
      <c r="A956" s="7"/>
      <c r="B956" s="7"/>
      <c r="C956" s="47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 ht="14.25" customHeight="1">
      <c r="A957" s="7"/>
      <c r="B957" s="7"/>
      <c r="C957" s="47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 ht="14.25" customHeight="1">
      <c r="A958" s="7"/>
      <c r="B958" s="7"/>
      <c r="C958" s="47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 ht="14.25" customHeight="1">
      <c r="A959" s="7"/>
      <c r="B959" s="7"/>
      <c r="C959" s="47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 ht="14.25" customHeight="1">
      <c r="A960" s="7"/>
      <c r="B960" s="7"/>
      <c r="C960" s="47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 ht="14.25" customHeight="1">
      <c r="A961" s="7"/>
      <c r="B961" s="7"/>
      <c r="C961" s="47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 ht="14.25" customHeight="1">
      <c r="A962" s="7"/>
      <c r="B962" s="7"/>
      <c r="C962" s="47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 ht="14.25" customHeight="1">
      <c r="A963" s="7"/>
      <c r="B963" s="7"/>
      <c r="C963" s="47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 ht="14.25" customHeight="1">
      <c r="A964" s="7"/>
      <c r="B964" s="7"/>
      <c r="C964" s="47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 ht="14.25" customHeight="1">
      <c r="A965" s="7"/>
      <c r="B965" s="7"/>
      <c r="C965" s="47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 ht="14.25" customHeight="1">
      <c r="A966" s="7"/>
      <c r="B966" s="7"/>
      <c r="C966" s="47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 ht="14.25" customHeight="1">
      <c r="A967" s="7"/>
      <c r="B967" s="7"/>
      <c r="C967" s="47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 ht="14.25" customHeight="1">
      <c r="A968" s="7"/>
      <c r="B968" s="7"/>
      <c r="C968" s="47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 ht="14.25" customHeight="1">
      <c r="A969" s="7"/>
      <c r="B969" s="7"/>
      <c r="C969" s="47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 ht="14.25" customHeight="1">
      <c r="A970" s="7"/>
      <c r="B970" s="7"/>
      <c r="C970" s="47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 ht="14.25" customHeight="1">
      <c r="A971" s="7"/>
      <c r="B971" s="7"/>
      <c r="C971" s="47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 ht="14.25" customHeight="1">
      <c r="A972" s="7"/>
      <c r="B972" s="7"/>
      <c r="C972" s="47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 ht="14.25" customHeight="1">
      <c r="A973" s="7"/>
      <c r="B973" s="7"/>
      <c r="C973" s="47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 ht="14.25" customHeight="1">
      <c r="A974" s="7"/>
      <c r="B974" s="7"/>
      <c r="C974" s="47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 ht="14.25" customHeight="1">
      <c r="A975" s="7"/>
      <c r="B975" s="7"/>
      <c r="C975" s="47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 ht="14.25" customHeight="1">
      <c r="A976" s="7"/>
      <c r="B976" s="7"/>
      <c r="C976" s="47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 ht="14.25" customHeight="1">
      <c r="A977" s="7"/>
      <c r="B977" s="7"/>
      <c r="C977" s="47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 ht="14.25" customHeight="1">
      <c r="A978" s="7"/>
      <c r="B978" s="7"/>
      <c r="C978" s="47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 ht="14.25" customHeight="1">
      <c r="A979" s="7"/>
      <c r="B979" s="7"/>
      <c r="C979" s="47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 ht="14.25" customHeight="1">
      <c r="A980" s="7"/>
      <c r="B980" s="7"/>
      <c r="C980" s="47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 ht="14.25" customHeight="1">
      <c r="A981" s="7"/>
      <c r="B981" s="7"/>
      <c r="C981" s="47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 ht="14.25" customHeight="1">
      <c r="A982" s="7"/>
      <c r="B982" s="7"/>
      <c r="C982" s="47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 ht="14.25" customHeight="1">
      <c r="A983" s="7"/>
      <c r="B983" s="7"/>
      <c r="C983" s="47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 ht="14.25" customHeight="1">
      <c r="A984" s="7"/>
      <c r="B984" s="7"/>
      <c r="C984" s="47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 ht="14.25" customHeight="1">
      <c r="A985" s="7"/>
      <c r="B985" s="7"/>
      <c r="C985" s="47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 ht="14.25" customHeight="1">
      <c r="A986" s="7"/>
      <c r="B986" s="7"/>
      <c r="C986" s="47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 ht="14.25" customHeight="1">
      <c r="A987" s="7"/>
      <c r="B987" s="7"/>
      <c r="C987" s="47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 ht="14.25" customHeight="1">
      <c r="A988" s="7"/>
      <c r="B988" s="7"/>
      <c r="C988" s="47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 ht="14.25" customHeight="1">
      <c r="A989" s="7"/>
      <c r="B989" s="7"/>
      <c r="C989" s="47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 ht="14.25" customHeight="1">
      <c r="A990" s="7"/>
      <c r="B990" s="7"/>
      <c r="C990" s="47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 ht="14.25" customHeight="1">
      <c r="A991" s="7"/>
      <c r="B991" s="7"/>
      <c r="C991" s="47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 ht="14.25" customHeight="1">
      <c r="A992" s="7"/>
      <c r="B992" s="7"/>
      <c r="C992" s="47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 ht="14.25" customHeight="1">
      <c r="A993" s="7"/>
      <c r="B993" s="7"/>
      <c r="C993" s="47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 ht="14.25" customHeight="1">
      <c r="A994" s="7"/>
      <c r="B994" s="7"/>
      <c r="C994" s="47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 ht="14.25" customHeight="1">
      <c r="A995" s="7"/>
      <c r="B995" s="7"/>
      <c r="C995" s="47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 ht="14.25" customHeight="1">
      <c r="A996" s="7"/>
      <c r="B996" s="7"/>
      <c r="C996" s="47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 ht="14.25" customHeight="1">
      <c r="A997" s="7"/>
      <c r="B997" s="7"/>
      <c r="C997" s="47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 ht="14.25" customHeight="1">
      <c r="A998" s="7"/>
      <c r="B998" s="7"/>
      <c r="C998" s="47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 ht="14.25" customHeight="1">
      <c r="A999" s="7"/>
      <c r="B999" s="7"/>
      <c r="C999" s="47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 ht="14.25" customHeight="1">
      <c r="A1000" s="7"/>
      <c r="B1000" s="7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  <row r="1001" ht="14.25" customHeight="1">
      <c r="A1001" s="7"/>
      <c r="B1001" s="7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  <c r="AF1001" s="48"/>
      <c r="AG1001" s="48"/>
    </row>
    <row r="1002" ht="14.25" customHeight="1">
      <c r="A1002" s="7"/>
      <c r="B1002" s="7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  <c r="AF1002" s="48"/>
      <c r="AG1002" s="48"/>
    </row>
  </sheetData>
  <mergeCells count="4">
    <mergeCell ref="A6:A28"/>
    <mergeCell ref="A31:A42"/>
    <mergeCell ref="A44:A49"/>
    <mergeCell ref="A50:A58"/>
  </mergeCells>
  <conditionalFormatting sqref="C4:AG4 C61:AG61">
    <cfRule type="cellIs" dxfId="0" priority="1" operator="between">
      <formula>0</formula>
      <formula>25000</formula>
    </cfRule>
  </conditionalFormatting>
  <conditionalFormatting sqref="C4:AG4 C61:AG61">
    <cfRule type="cellIs" dxfId="1" priority="2" operator="greaterThan">
      <formula>25000</formula>
    </cfRule>
  </conditionalFormatting>
  <conditionalFormatting sqref="C4:AG4 C61:AG61">
    <cfRule type="cellIs" dxfId="2" priority="3" operator="lessThan">
      <formula>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7.0"/>
    <col customWidth="1" min="2" max="2" width="34.5"/>
    <col customWidth="1" min="3" max="3" width="14.75"/>
    <col customWidth="1" min="4" max="4" width="15.75"/>
    <col customWidth="1" min="5" max="6" width="15.0"/>
    <col customWidth="1" min="7" max="7" width="13.5"/>
    <col customWidth="1" min="8" max="9" width="15.0"/>
    <col customWidth="1" min="10" max="10" width="12.0"/>
    <col customWidth="1" min="11" max="12" width="15.0"/>
    <col customWidth="1" min="13" max="14" width="13.88"/>
    <col customWidth="1" min="15" max="15" width="15.0"/>
    <col customWidth="1" min="16" max="28" width="13.88"/>
  </cols>
  <sheetData>
    <row r="1" ht="14.25" customHeight="1">
      <c r="A1" s="56"/>
      <c r="B1" s="56"/>
      <c r="C1" s="2" t="s">
        <v>0</v>
      </c>
      <c r="D1" s="3" t="str">
        <f t="shared" ref="D1:AB1" si="1">+C1</f>
        <v>LUNES</v>
      </c>
      <c r="E1" s="3" t="str">
        <f t="shared" si="1"/>
        <v>LUNES</v>
      </c>
      <c r="F1" s="3" t="str">
        <f t="shared" si="1"/>
        <v>LUNES</v>
      </c>
      <c r="G1" s="3" t="str">
        <f t="shared" si="1"/>
        <v>LUNES</v>
      </c>
      <c r="H1" s="3" t="str">
        <f t="shared" si="1"/>
        <v>LUNES</v>
      </c>
      <c r="I1" s="3" t="str">
        <f t="shared" si="1"/>
        <v>LUNES</v>
      </c>
      <c r="J1" s="3" t="str">
        <f t="shared" si="1"/>
        <v>LUNES</v>
      </c>
      <c r="K1" s="3" t="str">
        <f t="shared" si="1"/>
        <v>LUNES</v>
      </c>
      <c r="L1" s="3" t="str">
        <f t="shared" si="1"/>
        <v>LUNES</v>
      </c>
      <c r="M1" s="3" t="str">
        <f t="shared" si="1"/>
        <v>LUNES</v>
      </c>
      <c r="N1" s="57" t="str">
        <f t="shared" si="1"/>
        <v>LUNES</v>
      </c>
      <c r="O1" s="3" t="str">
        <f t="shared" si="1"/>
        <v>LUNES</v>
      </c>
      <c r="P1" s="3" t="str">
        <f t="shared" si="1"/>
        <v>LUNES</v>
      </c>
      <c r="Q1" s="57" t="str">
        <f t="shared" si="1"/>
        <v>LUNES</v>
      </c>
      <c r="R1" s="3" t="str">
        <f t="shared" si="1"/>
        <v>LUNES</v>
      </c>
      <c r="S1" s="3" t="str">
        <f t="shared" si="1"/>
        <v>LUNES</v>
      </c>
      <c r="T1" s="57" t="str">
        <f t="shared" si="1"/>
        <v>LUNES</v>
      </c>
      <c r="U1" s="3" t="str">
        <f t="shared" si="1"/>
        <v>LUNES</v>
      </c>
      <c r="V1" s="57" t="str">
        <f t="shared" si="1"/>
        <v>LUNES</v>
      </c>
      <c r="W1" s="3" t="str">
        <f t="shared" si="1"/>
        <v>LUNES</v>
      </c>
      <c r="X1" s="3" t="str">
        <f t="shared" si="1"/>
        <v>LUNES</v>
      </c>
      <c r="Y1" s="57" t="str">
        <f t="shared" si="1"/>
        <v>LUNES</v>
      </c>
      <c r="Z1" s="3" t="str">
        <f t="shared" si="1"/>
        <v>LUNES</v>
      </c>
      <c r="AA1" s="57" t="str">
        <f t="shared" si="1"/>
        <v>LUNES</v>
      </c>
      <c r="AB1" s="3" t="str">
        <f t="shared" si="1"/>
        <v>LUNES</v>
      </c>
    </row>
    <row r="2" ht="14.25" customHeight="1">
      <c r="A2" s="56"/>
      <c r="B2" s="56"/>
      <c r="C2" s="5">
        <v>46020.0</v>
      </c>
      <c r="D2" s="6">
        <f t="shared" ref="D2:AB2" si="2">+C2+7</f>
        <v>46027</v>
      </c>
      <c r="E2" s="58">
        <f t="shared" si="2"/>
        <v>46034</v>
      </c>
      <c r="F2" s="58">
        <f t="shared" si="2"/>
        <v>46041</v>
      </c>
      <c r="G2" s="58">
        <f t="shared" si="2"/>
        <v>46048</v>
      </c>
      <c r="H2" s="58">
        <f t="shared" si="2"/>
        <v>46055</v>
      </c>
      <c r="I2" s="58">
        <f t="shared" si="2"/>
        <v>46062</v>
      </c>
      <c r="J2" s="58">
        <f t="shared" si="2"/>
        <v>46069</v>
      </c>
      <c r="K2" s="58">
        <f t="shared" si="2"/>
        <v>46076</v>
      </c>
      <c r="L2" s="58">
        <f t="shared" si="2"/>
        <v>46083</v>
      </c>
      <c r="M2" s="58">
        <f t="shared" si="2"/>
        <v>46090</v>
      </c>
      <c r="N2" s="59">
        <f t="shared" si="2"/>
        <v>46097</v>
      </c>
      <c r="O2" s="58">
        <f t="shared" si="2"/>
        <v>46104</v>
      </c>
      <c r="P2" s="58">
        <f t="shared" si="2"/>
        <v>46111</v>
      </c>
      <c r="Q2" s="58">
        <f t="shared" si="2"/>
        <v>46118</v>
      </c>
      <c r="R2" s="58">
        <f t="shared" si="2"/>
        <v>46125</v>
      </c>
      <c r="S2" s="58">
        <f t="shared" si="2"/>
        <v>46132</v>
      </c>
      <c r="T2" s="59">
        <f t="shared" si="2"/>
        <v>46139</v>
      </c>
      <c r="U2" s="58">
        <f t="shared" si="2"/>
        <v>46146</v>
      </c>
      <c r="V2" s="58">
        <f t="shared" si="2"/>
        <v>46153</v>
      </c>
      <c r="W2" s="58">
        <f t="shared" si="2"/>
        <v>46160</v>
      </c>
      <c r="X2" s="58">
        <f t="shared" si="2"/>
        <v>46167</v>
      </c>
      <c r="Y2" s="59">
        <f t="shared" si="2"/>
        <v>46174</v>
      </c>
      <c r="Z2" s="58">
        <f t="shared" si="2"/>
        <v>46181</v>
      </c>
      <c r="AA2" s="58">
        <f t="shared" si="2"/>
        <v>46188</v>
      </c>
      <c r="AB2" s="58">
        <f t="shared" si="2"/>
        <v>46195</v>
      </c>
    </row>
    <row r="3" ht="14.2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ht="14.25" customHeight="1">
      <c r="A4" s="64"/>
      <c r="B4" s="65" t="s">
        <v>1</v>
      </c>
      <c r="C4" s="66">
        <v>0.0</v>
      </c>
      <c r="D4" s="13">
        <f>+C46</f>
        <v>0</v>
      </c>
      <c r="E4" s="66">
        <f>D46</f>
        <v>0</v>
      </c>
      <c r="F4" s="13">
        <f t="shared" ref="F4:G4" si="3">+E46</f>
        <v>0</v>
      </c>
      <c r="G4" s="13">
        <f t="shared" si="3"/>
        <v>0</v>
      </c>
      <c r="H4" s="66">
        <f>G46</f>
        <v>0</v>
      </c>
      <c r="I4" s="13">
        <f t="shared" ref="I4:J4" si="4">+H46</f>
        <v>0</v>
      </c>
      <c r="J4" s="13">
        <f t="shared" si="4"/>
        <v>0</v>
      </c>
      <c r="K4" s="66">
        <f>J46</f>
        <v>0</v>
      </c>
      <c r="L4" s="13">
        <f t="shared" ref="L4:M4" si="5">+K46</f>
        <v>0</v>
      </c>
      <c r="M4" s="13">
        <f t="shared" si="5"/>
        <v>0</v>
      </c>
      <c r="N4" s="66">
        <f>M46</f>
        <v>0</v>
      </c>
      <c r="O4" s="13">
        <f t="shared" ref="O4:P4" si="6">+N46</f>
        <v>0</v>
      </c>
      <c r="P4" s="13">
        <f t="shared" si="6"/>
        <v>0</v>
      </c>
      <c r="Q4" s="66">
        <f>P46</f>
        <v>0</v>
      </c>
      <c r="R4" s="13">
        <f t="shared" ref="R4:S4" si="7">+Q46</f>
        <v>0</v>
      </c>
      <c r="S4" s="13">
        <f t="shared" si="7"/>
        <v>0</v>
      </c>
      <c r="T4" s="66">
        <f>S46</f>
        <v>0</v>
      </c>
      <c r="U4" s="13">
        <f t="shared" ref="U4:V4" si="8">+T46</f>
        <v>0</v>
      </c>
      <c r="V4" s="13">
        <f t="shared" si="8"/>
        <v>0</v>
      </c>
      <c r="W4" s="66">
        <f>V46</f>
        <v>0</v>
      </c>
      <c r="X4" s="13">
        <f t="shared" ref="X4:Y4" si="9">+W46</f>
        <v>0</v>
      </c>
      <c r="Y4" s="13">
        <f t="shared" si="9"/>
        <v>0</v>
      </c>
      <c r="Z4" s="66">
        <f>Y46</f>
        <v>0</v>
      </c>
      <c r="AA4" s="13">
        <f t="shared" ref="AA4:AB4" si="10">+Z46</f>
        <v>0</v>
      </c>
      <c r="AB4" s="13">
        <f t="shared" si="10"/>
        <v>0</v>
      </c>
    </row>
    <row r="5" ht="14.25" customHeight="1">
      <c r="A5" s="60"/>
      <c r="B5" s="60"/>
      <c r="C5" s="7"/>
      <c r="D5" s="67"/>
      <c r="E5" s="7"/>
      <c r="F5" s="67"/>
      <c r="G5" s="7"/>
      <c r="H5" s="67"/>
      <c r="I5" s="7"/>
      <c r="J5" s="67"/>
      <c r="K5" s="7"/>
      <c r="L5" s="67"/>
      <c r="M5" s="7"/>
      <c r="N5" s="67"/>
      <c r="O5" s="7"/>
      <c r="P5" s="67"/>
      <c r="Q5" s="7"/>
      <c r="R5" s="67"/>
      <c r="S5" s="7"/>
      <c r="T5" s="67"/>
      <c r="U5" s="7"/>
      <c r="V5" s="67"/>
      <c r="W5" s="7"/>
      <c r="X5" s="67"/>
      <c r="Y5" s="7"/>
      <c r="Z5" s="67"/>
      <c r="AA5" s="7"/>
      <c r="AB5" s="67"/>
    </row>
    <row r="6" ht="14.25" customHeight="1">
      <c r="A6" s="68" t="s">
        <v>2</v>
      </c>
      <c r="B6" s="69" t="s">
        <v>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</row>
    <row r="7" ht="14.25" customHeight="1" outlineLevel="1">
      <c r="A7" s="20"/>
      <c r="B7" s="60" t="s">
        <v>71</v>
      </c>
      <c r="C7" s="71">
        <v>0.0</v>
      </c>
      <c r="D7" s="71">
        <v>0.0</v>
      </c>
      <c r="E7" s="71">
        <v>0.0</v>
      </c>
      <c r="F7" s="71">
        <v>0.0</v>
      </c>
      <c r="G7" s="71">
        <v>0.0</v>
      </c>
      <c r="H7" s="71">
        <v>0.0</v>
      </c>
      <c r="I7" s="71">
        <v>0.0</v>
      </c>
      <c r="J7" s="71">
        <v>0.0</v>
      </c>
      <c r="K7" s="71">
        <v>0.0</v>
      </c>
      <c r="L7" s="71">
        <v>0.0</v>
      </c>
      <c r="M7" s="71">
        <v>0.0</v>
      </c>
      <c r="N7" s="71">
        <v>0.0</v>
      </c>
      <c r="O7" s="71">
        <v>0.0</v>
      </c>
      <c r="P7" s="71">
        <v>0.0</v>
      </c>
      <c r="Q7" s="71">
        <v>0.0</v>
      </c>
      <c r="R7" s="71">
        <v>0.0</v>
      </c>
      <c r="S7" s="71">
        <v>0.0</v>
      </c>
      <c r="T7" s="71">
        <v>0.0</v>
      </c>
      <c r="U7" s="71">
        <v>0.0</v>
      </c>
      <c r="V7" s="71">
        <v>0.0</v>
      </c>
      <c r="W7" s="71">
        <v>0.0</v>
      </c>
      <c r="X7" s="71">
        <v>0.0</v>
      </c>
      <c r="Y7" s="71">
        <v>0.0</v>
      </c>
      <c r="Z7" s="71">
        <v>0.0</v>
      </c>
      <c r="AA7" s="71">
        <v>0.0</v>
      </c>
      <c r="AB7" s="71">
        <v>0.0</v>
      </c>
    </row>
    <row r="8" ht="14.25" customHeight="1" outlineLevel="1">
      <c r="A8" s="20"/>
      <c r="B8" s="72" t="s">
        <v>72</v>
      </c>
      <c r="C8" s="71">
        <v>0.0</v>
      </c>
      <c r="D8" s="73">
        <v>0.0</v>
      </c>
      <c r="E8" s="71">
        <v>0.0</v>
      </c>
      <c r="F8" s="73">
        <v>0.0</v>
      </c>
      <c r="G8" s="71">
        <v>0.0</v>
      </c>
      <c r="H8" s="73">
        <v>0.0</v>
      </c>
      <c r="I8" s="71">
        <v>0.0</v>
      </c>
      <c r="J8" s="73">
        <v>0.0</v>
      </c>
      <c r="K8" s="71">
        <v>0.0</v>
      </c>
      <c r="L8" s="73">
        <v>0.0</v>
      </c>
      <c r="M8" s="71">
        <v>0.0</v>
      </c>
      <c r="N8" s="73">
        <v>0.0</v>
      </c>
      <c r="O8" s="71">
        <v>0.0</v>
      </c>
      <c r="P8" s="73">
        <v>0.0</v>
      </c>
      <c r="Q8" s="71">
        <v>0.0</v>
      </c>
      <c r="R8" s="73">
        <v>0.0</v>
      </c>
      <c r="S8" s="71">
        <v>0.0</v>
      </c>
      <c r="T8" s="73">
        <v>0.0</v>
      </c>
      <c r="U8" s="71">
        <v>0.0</v>
      </c>
      <c r="V8" s="73">
        <v>0.0</v>
      </c>
      <c r="W8" s="71">
        <v>0.0</v>
      </c>
      <c r="X8" s="73">
        <v>0.0</v>
      </c>
      <c r="Y8" s="71">
        <v>0.0</v>
      </c>
      <c r="Z8" s="73">
        <v>0.0</v>
      </c>
      <c r="AA8" s="71">
        <v>0.0</v>
      </c>
      <c r="AB8" s="73">
        <v>0.0</v>
      </c>
    </row>
    <row r="9" ht="14.25" customHeight="1" outlineLevel="1">
      <c r="A9" s="20"/>
      <c r="B9" s="60" t="s">
        <v>73</v>
      </c>
      <c r="C9" s="71">
        <v>0.0</v>
      </c>
      <c r="D9" s="73">
        <v>0.0</v>
      </c>
      <c r="E9" s="71">
        <v>0.0</v>
      </c>
      <c r="F9" s="73">
        <v>0.0</v>
      </c>
      <c r="G9" s="71">
        <v>0.0</v>
      </c>
      <c r="H9" s="73">
        <v>0.0</v>
      </c>
      <c r="I9" s="71">
        <v>0.0</v>
      </c>
      <c r="J9" s="73">
        <v>0.0</v>
      </c>
      <c r="K9" s="71">
        <v>0.0</v>
      </c>
      <c r="L9" s="73">
        <v>0.0</v>
      </c>
      <c r="M9" s="71">
        <v>0.0</v>
      </c>
      <c r="N9" s="73">
        <v>0.0</v>
      </c>
      <c r="O9" s="71">
        <v>0.0</v>
      </c>
      <c r="P9" s="73">
        <v>0.0</v>
      </c>
      <c r="Q9" s="71">
        <v>0.0</v>
      </c>
      <c r="R9" s="73">
        <v>0.0</v>
      </c>
      <c r="S9" s="71">
        <v>0.0</v>
      </c>
      <c r="T9" s="73">
        <v>0.0</v>
      </c>
      <c r="U9" s="71">
        <v>0.0</v>
      </c>
      <c r="V9" s="73">
        <v>0.0</v>
      </c>
      <c r="W9" s="71">
        <v>0.0</v>
      </c>
      <c r="X9" s="73">
        <v>0.0</v>
      </c>
      <c r="Y9" s="71">
        <v>0.0</v>
      </c>
      <c r="Z9" s="73">
        <v>0.0</v>
      </c>
      <c r="AA9" s="71">
        <v>0.0</v>
      </c>
      <c r="AB9" s="73">
        <v>0.0</v>
      </c>
    </row>
    <row r="10" ht="14.25" customHeight="1" outlineLevel="1">
      <c r="A10" s="20"/>
      <c r="B10" s="72" t="s">
        <v>74</v>
      </c>
      <c r="C10" s="7">
        <v>0.0</v>
      </c>
      <c r="D10" s="71">
        <v>0.0</v>
      </c>
      <c r="E10" s="7">
        <v>0.0</v>
      </c>
      <c r="F10" s="71">
        <v>0.0</v>
      </c>
      <c r="G10" s="7">
        <v>0.0</v>
      </c>
      <c r="H10" s="71">
        <v>0.0</v>
      </c>
      <c r="I10" s="7">
        <v>0.0</v>
      </c>
      <c r="J10" s="71">
        <v>0.0</v>
      </c>
      <c r="K10" s="7">
        <v>0.0</v>
      </c>
      <c r="L10" s="71">
        <v>0.0</v>
      </c>
      <c r="M10" s="7">
        <v>0.0</v>
      </c>
      <c r="N10" s="71">
        <v>0.0</v>
      </c>
      <c r="O10" s="7">
        <v>0.0</v>
      </c>
      <c r="P10" s="71">
        <v>0.0</v>
      </c>
      <c r="Q10" s="7">
        <v>0.0</v>
      </c>
      <c r="R10" s="71">
        <v>0.0</v>
      </c>
      <c r="S10" s="7">
        <v>0.0</v>
      </c>
      <c r="T10" s="71">
        <v>0.0</v>
      </c>
      <c r="U10" s="7">
        <v>0.0</v>
      </c>
      <c r="V10" s="71">
        <v>0.0</v>
      </c>
      <c r="W10" s="7">
        <v>0.0</v>
      </c>
      <c r="X10" s="71">
        <v>0.0</v>
      </c>
      <c r="Y10" s="7">
        <v>0.0</v>
      </c>
      <c r="Z10" s="71">
        <v>0.0</v>
      </c>
      <c r="AA10" s="7">
        <v>0.0</v>
      </c>
      <c r="AB10" s="71">
        <v>0.0</v>
      </c>
    </row>
    <row r="11" ht="14.25" customHeight="1" outlineLevel="1">
      <c r="A11" s="20"/>
      <c r="B11" s="60" t="s">
        <v>75</v>
      </c>
      <c r="C11" s="7">
        <v>0.0</v>
      </c>
      <c r="D11" s="71">
        <v>0.0</v>
      </c>
      <c r="E11" s="7">
        <v>0.0</v>
      </c>
      <c r="F11" s="71">
        <v>0.0</v>
      </c>
      <c r="G11" s="7">
        <v>0.0</v>
      </c>
      <c r="H11" s="71">
        <v>0.0</v>
      </c>
      <c r="I11" s="7">
        <v>0.0</v>
      </c>
      <c r="J11" s="71">
        <v>0.0</v>
      </c>
      <c r="K11" s="7">
        <v>0.0</v>
      </c>
      <c r="L11" s="71">
        <v>0.0</v>
      </c>
      <c r="M11" s="7">
        <v>0.0</v>
      </c>
      <c r="N11" s="71">
        <v>0.0</v>
      </c>
      <c r="O11" s="7">
        <v>0.0</v>
      </c>
      <c r="P11" s="71">
        <v>0.0</v>
      </c>
      <c r="Q11" s="7">
        <v>0.0</v>
      </c>
      <c r="R11" s="71">
        <v>0.0</v>
      </c>
      <c r="S11" s="7">
        <v>0.0</v>
      </c>
      <c r="T11" s="71">
        <v>0.0</v>
      </c>
      <c r="U11" s="7">
        <v>0.0</v>
      </c>
      <c r="V11" s="71">
        <v>0.0</v>
      </c>
      <c r="W11" s="7">
        <v>0.0</v>
      </c>
      <c r="X11" s="71">
        <v>0.0</v>
      </c>
      <c r="Y11" s="7">
        <v>0.0</v>
      </c>
      <c r="Z11" s="71">
        <v>0.0</v>
      </c>
      <c r="AA11" s="7">
        <v>0.0</v>
      </c>
      <c r="AB11" s="71">
        <v>0.0</v>
      </c>
    </row>
    <row r="12" ht="14.25" customHeight="1" outlineLevel="1">
      <c r="A12" s="20"/>
      <c r="B12" s="72" t="s">
        <v>7</v>
      </c>
      <c r="C12" s="7">
        <v>0.0</v>
      </c>
      <c r="D12" s="71">
        <v>0.0</v>
      </c>
      <c r="E12" s="7">
        <v>0.0</v>
      </c>
      <c r="F12" s="71">
        <v>0.0</v>
      </c>
      <c r="G12" s="7">
        <v>0.0</v>
      </c>
      <c r="H12" s="71">
        <v>0.0</v>
      </c>
      <c r="I12" s="7">
        <v>0.0</v>
      </c>
      <c r="J12" s="71">
        <v>0.0</v>
      </c>
      <c r="K12" s="7">
        <v>0.0</v>
      </c>
      <c r="L12" s="71">
        <v>0.0</v>
      </c>
      <c r="M12" s="7">
        <v>0.0</v>
      </c>
      <c r="N12" s="71">
        <v>0.0</v>
      </c>
      <c r="O12" s="7">
        <v>0.0</v>
      </c>
      <c r="P12" s="71">
        <v>0.0</v>
      </c>
      <c r="Q12" s="7">
        <v>0.0</v>
      </c>
      <c r="R12" s="71">
        <v>0.0</v>
      </c>
      <c r="S12" s="7">
        <v>0.0</v>
      </c>
      <c r="T12" s="71">
        <v>0.0</v>
      </c>
      <c r="U12" s="7">
        <v>0.0</v>
      </c>
      <c r="V12" s="71">
        <v>0.0</v>
      </c>
      <c r="W12" s="7">
        <v>0.0</v>
      </c>
      <c r="X12" s="71">
        <v>0.0</v>
      </c>
      <c r="Y12" s="7">
        <v>0.0</v>
      </c>
      <c r="Z12" s="71">
        <v>0.0</v>
      </c>
      <c r="AA12" s="7">
        <v>0.0</v>
      </c>
      <c r="AB12" s="71">
        <v>0.0</v>
      </c>
    </row>
    <row r="13" ht="14.25" customHeight="1" outlineLevel="1">
      <c r="A13" s="20"/>
      <c r="B13" s="72" t="s">
        <v>76</v>
      </c>
      <c r="C13" s="71">
        <v>0.0</v>
      </c>
      <c r="D13" s="71">
        <v>0.0</v>
      </c>
      <c r="E13" s="71">
        <v>0.0</v>
      </c>
      <c r="F13" s="71">
        <v>0.0</v>
      </c>
      <c r="G13" s="71">
        <v>0.0</v>
      </c>
      <c r="H13" s="71">
        <v>0.0</v>
      </c>
      <c r="I13" s="71">
        <v>0.0</v>
      </c>
      <c r="J13" s="71">
        <v>0.0</v>
      </c>
      <c r="K13" s="71">
        <v>0.0</v>
      </c>
      <c r="L13" s="71">
        <v>0.0</v>
      </c>
      <c r="M13" s="71">
        <v>0.0</v>
      </c>
      <c r="N13" s="71">
        <v>0.0</v>
      </c>
      <c r="O13" s="71">
        <v>0.0</v>
      </c>
      <c r="P13" s="71">
        <v>0.0</v>
      </c>
      <c r="Q13" s="71">
        <v>0.0</v>
      </c>
      <c r="R13" s="71">
        <v>0.0</v>
      </c>
      <c r="S13" s="71">
        <v>0.0</v>
      </c>
      <c r="T13" s="71">
        <v>0.0</v>
      </c>
      <c r="U13" s="71">
        <v>0.0</v>
      </c>
      <c r="V13" s="71">
        <v>0.0</v>
      </c>
      <c r="W13" s="71">
        <v>0.0</v>
      </c>
      <c r="X13" s="71">
        <v>0.0</v>
      </c>
      <c r="Y13" s="71">
        <v>0.0</v>
      </c>
      <c r="Z13" s="71">
        <v>0.0</v>
      </c>
      <c r="AA13" s="71">
        <v>0.0</v>
      </c>
      <c r="AB13" s="71">
        <v>0.0</v>
      </c>
    </row>
    <row r="14" ht="14.25" customHeight="1" outlineLevel="1">
      <c r="A14" s="20"/>
      <c r="B14" s="72" t="s">
        <v>77</v>
      </c>
      <c r="C14" s="53">
        <v>0.0</v>
      </c>
      <c r="D14" s="7">
        <v>0.0</v>
      </c>
      <c r="E14" s="53">
        <v>0.0</v>
      </c>
      <c r="F14" s="7">
        <v>0.0</v>
      </c>
      <c r="G14" s="53">
        <v>0.0</v>
      </c>
      <c r="H14" s="7">
        <v>0.0</v>
      </c>
      <c r="I14" s="53">
        <v>0.0</v>
      </c>
      <c r="J14" s="7">
        <v>0.0</v>
      </c>
      <c r="K14" s="53">
        <v>0.0</v>
      </c>
      <c r="L14" s="7">
        <v>0.0</v>
      </c>
      <c r="M14" s="53">
        <v>0.0</v>
      </c>
      <c r="N14" s="7">
        <v>0.0</v>
      </c>
      <c r="O14" s="53">
        <v>0.0</v>
      </c>
      <c r="P14" s="7">
        <v>0.0</v>
      </c>
      <c r="Q14" s="53">
        <v>0.0</v>
      </c>
      <c r="R14" s="7">
        <v>0.0</v>
      </c>
      <c r="S14" s="53">
        <v>0.0</v>
      </c>
      <c r="T14" s="7">
        <v>0.0</v>
      </c>
      <c r="U14" s="53">
        <v>0.0</v>
      </c>
      <c r="V14" s="7">
        <v>0.0</v>
      </c>
      <c r="W14" s="53">
        <v>0.0</v>
      </c>
      <c r="X14" s="7">
        <v>0.0</v>
      </c>
      <c r="Y14" s="53">
        <v>0.0</v>
      </c>
      <c r="Z14" s="7">
        <v>0.0</v>
      </c>
      <c r="AA14" s="53">
        <v>0.0</v>
      </c>
      <c r="AB14" s="7">
        <v>0.0</v>
      </c>
    </row>
    <row r="15" ht="14.25" customHeight="1" outlineLevel="1">
      <c r="A15" s="20"/>
      <c r="B15" s="60" t="s">
        <v>20</v>
      </c>
      <c r="C15" s="71">
        <v>0.0</v>
      </c>
      <c r="D15" s="71">
        <v>0.0</v>
      </c>
      <c r="E15" s="71">
        <v>0.0</v>
      </c>
      <c r="F15" s="71">
        <v>0.0</v>
      </c>
      <c r="G15" s="71">
        <v>0.0</v>
      </c>
      <c r="H15" s="71">
        <v>0.0</v>
      </c>
      <c r="I15" s="71">
        <v>0.0</v>
      </c>
      <c r="J15" s="71">
        <v>0.0</v>
      </c>
      <c r="K15" s="71">
        <v>0.0</v>
      </c>
      <c r="L15" s="71">
        <v>0.0</v>
      </c>
      <c r="M15" s="71">
        <v>0.0</v>
      </c>
      <c r="N15" s="71">
        <v>0.0</v>
      </c>
      <c r="O15" s="71">
        <v>0.0</v>
      </c>
      <c r="P15" s="71">
        <v>0.0</v>
      </c>
      <c r="Q15" s="71">
        <v>0.0</v>
      </c>
      <c r="R15" s="71">
        <v>0.0</v>
      </c>
      <c r="S15" s="71">
        <v>0.0</v>
      </c>
      <c r="T15" s="71">
        <v>0.0</v>
      </c>
      <c r="U15" s="71">
        <v>0.0</v>
      </c>
      <c r="V15" s="71">
        <v>0.0</v>
      </c>
      <c r="W15" s="71">
        <v>0.0</v>
      </c>
      <c r="X15" s="71">
        <v>0.0</v>
      </c>
      <c r="Y15" s="71">
        <v>0.0</v>
      </c>
      <c r="Z15" s="71">
        <v>0.0</v>
      </c>
      <c r="AA15" s="71">
        <v>0.0</v>
      </c>
      <c r="AB15" s="71">
        <v>0.0</v>
      </c>
    </row>
    <row r="16" ht="14.25" customHeight="1" outlineLevel="1">
      <c r="A16" s="20"/>
      <c r="B16" s="72" t="s">
        <v>78</v>
      </c>
      <c r="C16" s="73">
        <v>0.0</v>
      </c>
      <c r="D16" s="73">
        <v>0.0</v>
      </c>
      <c r="E16" s="73">
        <v>0.0</v>
      </c>
      <c r="F16" s="73">
        <v>0.0</v>
      </c>
      <c r="G16" s="73">
        <v>0.0</v>
      </c>
      <c r="H16" s="73">
        <v>0.0</v>
      </c>
      <c r="I16" s="73">
        <v>0.0</v>
      </c>
      <c r="J16" s="73">
        <v>0.0</v>
      </c>
      <c r="K16" s="73">
        <v>0.0</v>
      </c>
      <c r="L16" s="73">
        <v>0.0</v>
      </c>
      <c r="M16" s="73">
        <v>0.0</v>
      </c>
      <c r="N16" s="73">
        <v>0.0</v>
      </c>
      <c r="O16" s="73">
        <v>0.0</v>
      </c>
      <c r="P16" s="73">
        <v>0.0</v>
      </c>
      <c r="Q16" s="73">
        <v>0.0</v>
      </c>
      <c r="R16" s="73">
        <v>0.0</v>
      </c>
      <c r="S16" s="73">
        <v>0.0</v>
      </c>
      <c r="T16" s="73">
        <v>0.0</v>
      </c>
      <c r="U16" s="73">
        <v>0.0</v>
      </c>
      <c r="V16" s="73">
        <v>0.0</v>
      </c>
      <c r="W16" s="73">
        <v>0.0</v>
      </c>
      <c r="X16" s="73">
        <v>0.0</v>
      </c>
      <c r="Y16" s="73">
        <v>0.0</v>
      </c>
      <c r="Z16" s="73">
        <v>0.0</v>
      </c>
      <c r="AA16" s="73">
        <v>0.0</v>
      </c>
      <c r="AB16" s="73">
        <v>0.0</v>
      </c>
    </row>
    <row r="17" ht="14.25" customHeight="1" outlineLevel="1">
      <c r="A17" s="20"/>
      <c r="B17" s="60" t="s">
        <v>79</v>
      </c>
      <c r="C17" s="74">
        <v>0.0</v>
      </c>
      <c r="D17" s="74">
        <v>0.0</v>
      </c>
      <c r="E17" s="74">
        <v>0.0</v>
      </c>
      <c r="F17" s="74">
        <v>0.0</v>
      </c>
      <c r="G17" s="74">
        <v>0.0</v>
      </c>
      <c r="H17" s="74">
        <v>0.0</v>
      </c>
      <c r="I17" s="74">
        <v>0.0</v>
      </c>
      <c r="J17" s="74">
        <v>0.0</v>
      </c>
      <c r="K17" s="74">
        <v>0.0</v>
      </c>
      <c r="L17" s="74">
        <v>0.0</v>
      </c>
      <c r="M17" s="74">
        <v>0.0</v>
      </c>
      <c r="N17" s="74">
        <v>0.0</v>
      </c>
      <c r="O17" s="74">
        <v>0.0</v>
      </c>
      <c r="P17" s="74">
        <v>0.0</v>
      </c>
      <c r="Q17" s="74">
        <v>0.0</v>
      </c>
      <c r="R17" s="74">
        <v>0.0</v>
      </c>
      <c r="S17" s="74">
        <v>0.0</v>
      </c>
      <c r="T17" s="74">
        <v>0.0</v>
      </c>
      <c r="U17" s="74">
        <v>0.0</v>
      </c>
      <c r="V17" s="74">
        <v>0.0</v>
      </c>
      <c r="W17" s="74">
        <v>0.0</v>
      </c>
      <c r="X17" s="74">
        <v>0.0</v>
      </c>
      <c r="Y17" s="74">
        <v>0.0</v>
      </c>
      <c r="Z17" s="74">
        <v>0.0</v>
      </c>
      <c r="AA17" s="74">
        <v>0.0</v>
      </c>
      <c r="AB17" s="74">
        <v>0.0</v>
      </c>
    </row>
    <row r="18" ht="14.25" customHeight="1">
      <c r="A18" s="23"/>
      <c r="B18" s="75" t="s">
        <v>24</v>
      </c>
      <c r="C18" s="24">
        <f t="shared" ref="C18:AB18" si="11">SUM(C7:C17)</f>
        <v>0</v>
      </c>
      <c r="D18" s="24">
        <f t="shared" si="11"/>
        <v>0</v>
      </c>
      <c r="E18" s="24">
        <f t="shared" si="11"/>
        <v>0</v>
      </c>
      <c r="F18" s="24">
        <f t="shared" si="11"/>
        <v>0</v>
      </c>
      <c r="G18" s="24">
        <f t="shared" si="11"/>
        <v>0</v>
      </c>
      <c r="H18" s="24">
        <f t="shared" si="11"/>
        <v>0</v>
      </c>
      <c r="I18" s="24">
        <f t="shared" si="11"/>
        <v>0</v>
      </c>
      <c r="J18" s="24">
        <f t="shared" si="11"/>
        <v>0</v>
      </c>
      <c r="K18" s="24">
        <f t="shared" si="11"/>
        <v>0</v>
      </c>
      <c r="L18" s="24">
        <f t="shared" si="11"/>
        <v>0</v>
      </c>
      <c r="M18" s="24">
        <f t="shared" si="11"/>
        <v>0</v>
      </c>
      <c r="N18" s="24">
        <f t="shared" si="11"/>
        <v>0</v>
      </c>
      <c r="O18" s="24">
        <f t="shared" si="11"/>
        <v>0</v>
      </c>
      <c r="P18" s="24">
        <f t="shared" si="11"/>
        <v>0</v>
      </c>
      <c r="Q18" s="24">
        <f t="shared" si="11"/>
        <v>0</v>
      </c>
      <c r="R18" s="24">
        <f t="shared" si="11"/>
        <v>0</v>
      </c>
      <c r="S18" s="24">
        <f t="shared" si="11"/>
        <v>0</v>
      </c>
      <c r="T18" s="24">
        <f t="shared" si="11"/>
        <v>0</v>
      </c>
      <c r="U18" s="24">
        <f t="shared" si="11"/>
        <v>0</v>
      </c>
      <c r="V18" s="24">
        <f t="shared" si="11"/>
        <v>0</v>
      </c>
      <c r="W18" s="24">
        <f t="shared" si="11"/>
        <v>0</v>
      </c>
      <c r="X18" s="24">
        <f t="shared" si="11"/>
        <v>0</v>
      </c>
      <c r="Y18" s="24">
        <f t="shared" si="11"/>
        <v>0</v>
      </c>
      <c r="Z18" s="24">
        <f t="shared" si="11"/>
        <v>0</v>
      </c>
      <c r="AA18" s="24">
        <f t="shared" si="11"/>
        <v>0</v>
      </c>
      <c r="AB18" s="24">
        <f t="shared" si="11"/>
        <v>0</v>
      </c>
    </row>
    <row r="19" ht="14.25" customHeight="1">
      <c r="A19" s="60"/>
      <c r="B19" s="60"/>
      <c r="C19" s="7"/>
      <c r="D19" s="67"/>
      <c r="E19" s="7"/>
      <c r="F19" s="67"/>
      <c r="G19" s="7"/>
      <c r="H19" s="67"/>
      <c r="I19" s="7"/>
      <c r="J19" s="67"/>
      <c r="K19" s="7"/>
      <c r="L19" s="67"/>
      <c r="M19" s="7"/>
      <c r="N19" s="67"/>
      <c r="O19" s="7"/>
      <c r="P19" s="67"/>
      <c r="Q19" s="7"/>
      <c r="R19" s="67"/>
      <c r="S19" s="7"/>
      <c r="T19" s="67"/>
      <c r="U19" s="7"/>
      <c r="V19" s="67"/>
      <c r="W19" s="7"/>
      <c r="X19" s="67"/>
      <c r="Y19" s="7"/>
      <c r="Z19" s="67"/>
      <c r="AA19" s="7"/>
      <c r="AB19" s="67"/>
    </row>
    <row r="20" ht="14.25" customHeight="1">
      <c r="A20" s="76"/>
      <c r="B20" s="69" t="s">
        <v>25</v>
      </c>
      <c r="C20" s="77">
        <v>0.0</v>
      </c>
      <c r="D20" s="77">
        <v>0.0</v>
      </c>
      <c r="E20" s="77">
        <v>0.0</v>
      </c>
      <c r="F20" s="77">
        <v>0.0</v>
      </c>
      <c r="G20" s="77">
        <v>0.0</v>
      </c>
      <c r="H20" s="77">
        <v>0.0</v>
      </c>
      <c r="I20" s="77">
        <v>0.0</v>
      </c>
      <c r="J20" s="77">
        <v>0.0</v>
      </c>
      <c r="K20" s="77">
        <v>0.0</v>
      </c>
      <c r="L20" s="77">
        <v>0.0</v>
      </c>
      <c r="M20" s="77">
        <v>0.0</v>
      </c>
      <c r="N20" s="77">
        <v>0.0</v>
      </c>
      <c r="O20" s="77">
        <v>0.0</v>
      </c>
      <c r="P20" s="77">
        <v>0.0</v>
      </c>
      <c r="Q20" s="77">
        <v>0.0</v>
      </c>
      <c r="R20" s="77">
        <v>0.0</v>
      </c>
      <c r="S20" s="77">
        <v>0.0</v>
      </c>
      <c r="T20" s="77">
        <v>0.0</v>
      </c>
      <c r="U20" s="77">
        <v>0.0</v>
      </c>
      <c r="V20" s="77">
        <v>0.0</v>
      </c>
      <c r="W20" s="77">
        <v>0.0</v>
      </c>
      <c r="X20" s="77">
        <v>0.0</v>
      </c>
      <c r="Y20" s="77">
        <v>0.0</v>
      </c>
      <c r="Z20" s="77">
        <v>0.0</v>
      </c>
      <c r="AA20" s="77">
        <v>0.0</v>
      </c>
      <c r="AB20" s="77">
        <v>0.0</v>
      </c>
    </row>
    <row r="21" ht="14.25" customHeight="1" outlineLevel="1">
      <c r="A21" s="78" t="s">
        <v>25</v>
      </c>
      <c r="B21" s="72" t="s">
        <v>80</v>
      </c>
      <c r="C21" s="7">
        <v>0.0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</row>
    <row r="22" ht="14.25" customHeight="1" outlineLevel="1">
      <c r="A22" s="20"/>
      <c r="B22" s="72" t="s">
        <v>81</v>
      </c>
      <c r="C22" s="7">
        <v>0.0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</row>
    <row r="23" ht="14.25" customHeight="1" outlineLevel="1">
      <c r="A23" s="20"/>
      <c r="B23" s="72" t="s">
        <v>21</v>
      </c>
      <c r="C23" s="53">
        <v>0.0</v>
      </c>
      <c r="D23" s="7">
        <v>0.0</v>
      </c>
      <c r="E23" s="53">
        <v>0.0</v>
      </c>
      <c r="F23" s="7">
        <v>0.0</v>
      </c>
      <c r="G23" s="53">
        <v>0.0</v>
      </c>
      <c r="H23" s="7">
        <v>0.0</v>
      </c>
      <c r="I23" s="53">
        <v>0.0</v>
      </c>
      <c r="J23" s="7">
        <v>0.0</v>
      </c>
      <c r="K23" s="53">
        <v>0.0</v>
      </c>
      <c r="L23" s="7">
        <v>0.0</v>
      </c>
      <c r="M23" s="53">
        <v>0.0</v>
      </c>
      <c r="N23" s="7">
        <v>0.0</v>
      </c>
      <c r="O23" s="53">
        <v>0.0</v>
      </c>
      <c r="P23" s="7">
        <v>0.0</v>
      </c>
      <c r="Q23" s="53">
        <v>0.0</v>
      </c>
      <c r="R23" s="7">
        <v>0.0</v>
      </c>
      <c r="S23" s="53">
        <v>0.0</v>
      </c>
      <c r="T23" s="7">
        <v>0.0</v>
      </c>
      <c r="U23" s="53">
        <v>0.0</v>
      </c>
      <c r="V23" s="7">
        <v>0.0</v>
      </c>
      <c r="W23" s="53">
        <v>0.0</v>
      </c>
      <c r="X23" s="7">
        <v>0.0</v>
      </c>
      <c r="Y23" s="53">
        <v>0.0</v>
      </c>
      <c r="Z23" s="7">
        <v>0.0</v>
      </c>
      <c r="AA23" s="53">
        <v>0.0</v>
      </c>
      <c r="AB23" s="7">
        <v>0.0</v>
      </c>
    </row>
    <row r="24" ht="14.25" customHeight="1" outlineLevel="1">
      <c r="A24" s="20"/>
      <c r="B24" s="72" t="s">
        <v>82</v>
      </c>
      <c r="C24" s="73">
        <v>0.0</v>
      </c>
      <c r="D24" s="71">
        <f>D51</f>
        <v>0</v>
      </c>
      <c r="E24" s="73">
        <v>0.0</v>
      </c>
      <c r="F24" s="79">
        <v>0.0</v>
      </c>
      <c r="G24" s="73">
        <v>0.0</v>
      </c>
      <c r="H24" s="79">
        <v>0.0</v>
      </c>
      <c r="I24" s="73">
        <v>0.0</v>
      </c>
      <c r="J24" s="71">
        <f>J51</f>
        <v>0</v>
      </c>
      <c r="K24" s="73">
        <v>0.0</v>
      </c>
      <c r="L24" s="71">
        <f>L51</f>
        <v>0</v>
      </c>
      <c r="M24" s="73">
        <v>0.0</v>
      </c>
      <c r="N24" s="71">
        <f>N51</f>
        <v>0</v>
      </c>
      <c r="O24" s="73">
        <v>0.0</v>
      </c>
      <c r="P24" s="79">
        <v>0.0</v>
      </c>
      <c r="Q24" s="73">
        <v>0.0</v>
      </c>
      <c r="R24" s="71">
        <f>R51</f>
        <v>0</v>
      </c>
      <c r="S24" s="73">
        <v>0.0</v>
      </c>
      <c r="T24" s="71">
        <f>T51</f>
        <v>0</v>
      </c>
      <c r="U24" s="73">
        <v>0.0</v>
      </c>
      <c r="V24" s="79">
        <v>0.0</v>
      </c>
      <c r="W24" s="73">
        <v>0.0</v>
      </c>
      <c r="X24" s="71">
        <f>X51</f>
        <v>0</v>
      </c>
      <c r="Y24" s="73">
        <v>0.0</v>
      </c>
      <c r="Z24" s="79">
        <v>0.0</v>
      </c>
      <c r="AA24" s="73">
        <v>0.0</v>
      </c>
      <c r="AB24" s="79">
        <v>0.0</v>
      </c>
    </row>
    <row r="25" ht="14.25" customHeight="1" outlineLevel="1">
      <c r="A25" s="23"/>
      <c r="B25" s="80" t="s">
        <v>83</v>
      </c>
      <c r="C25" s="81">
        <v>0.0</v>
      </c>
      <c r="D25" s="82">
        <v>0.0</v>
      </c>
      <c r="E25" s="81">
        <v>0.0</v>
      </c>
      <c r="F25" s="82">
        <v>0.0</v>
      </c>
      <c r="G25" s="81">
        <v>0.0</v>
      </c>
      <c r="H25" s="82">
        <v>0.0</v>
      </c>
      <c r="I25" s="81">
        <v>0.0</v>
      </c>
      <c r="J25" s="82">
        <v>0.0</v>
      </c>
      <c r="K25" s="81">
        <v>0.0</v>
      </c>
      <c r="L25" s="82">
        <v>0.0</v>
      </c>
      <c r="M25" s="81">
        <v>0.0</v>
      </c>
      <c r="N25" s="82">
        <v>0.0</v>
      </c>
      <c r="O25" s="81">
        <v>0.0</v>
      </c>
      <c r="P25" s="82">
        <v>0.0</v>
      </c>
      <c r="Q25" s="81">
        <v>0.0</v>
      </c>
      <c r="R25" s="82">
        <v>0.0</v>
      </c>
      <c r="S25" s="81">
        <v>0.0</v>
      </c>
      <c r="T25" s="82">
        <v>0.0</v>
      </c>
      <c r="U25" s="81">
        <v>0.0</v>
      </c>
      <c r="V25" s="82">
        <v>0.0</v>
      </c>
      <c r="W25" s="81">
        <v>0.0</v>
      </c>
      <c r="X25" s="82">
        <v>0.0</v>
      </c>
      <c r="Y25" s="81">
        <v>0.0</v>
      </c>
      <c r="Z25" s="82">
        <v>0.0</v>
      </c>
      <c r="AA25" s="81">
        <v>0.0</v>
      </c>
      <c r="AB25" s="82">
        <v>0.0</v>
      </c>
    </row>
    <row r="26" ht="14.25" customHeight="1" outlineLevel="1">
      <c r="A26" s="78" t="s">
        <v>84</v>
      </c>
      <c r="B26" s="83" t="s">
        <v>85</v>
      </c>
      <c r="C26" s="77">
        <v>0.0</v>
      </c>
      <c r="D26" s="84">
        <v>0.0</v>
      </c>
      <c r="E26" s="77">
        <v>0.0</v>
      </c>
      <c r="F26" s="84">
        <v>0.0</v>
      </c>
      <c r="G26" s="77">
        <v>0.0</v>
      </c>
      <c r="H26" s="84">
        <v>0.0</v>
      </c>
      <c r="I26" s="77">
        <v>0.0</v>
      </c>
      <c r="J26" s="84">
        <v>0.0</v>
      </c>
      <c r="K26" s="77">
        <v>0.0</v>
      </c>
      <c r="L26" s="84">
        <v>0.0</v>
      </c>
      <c r="M26" s="77">
        <v>0.0</v>
      </c>
      <c r="N26" s="84">
        <v>0.0</v>
      </c>
      <c r="O26" s="77">
        <v>0.0</v>
      </c>
      <c r="P26" s="84">
        <v>0.0</v>
      </c>
      <c r="Q26" s="77">
        <v>0.0</v>
      </c>
      <c r="R26" s="84">
        <v>0.0</v>
      </c>
      <c r="S26" s="77">
        <v>0.0</v>
      </c>
      <c r="T26" s="84">
        <v>0.0</v>
      </c>
      <c r="U26" s="77">
        <v>0.0</v>
      </c>
      <c r="V26" s="84">
        <v>0.0</v>
      </c>
      <c r="W26" s="77">
        <v>0.0</v>
      </c>
      <c r="X26" s="84">
        <v>0.0</v>
      </c>
      <c r="Y26" s="77">
        <v>0.0</v>
      </c>
      <c r="Z26" s="84">
        <v>0.0</v>
      </c>
      <c r="AA26" s="77">
        <v>0.0</v>
      </c>
      <c r="AB26" s="84">
        <v>0.0</v>
      </c>
    </row>
    <row r="27" ht="14.25" customHeight="1" outlineLevel="1">
      <c r="A27" s="20"/>
      <c r="B27" s="72" t="s">
        <v>86</v>
      </c>
      <c r="C27" s="7">
        <v>0.0</v>
      </c>
      <c r="D27" s="85">
        <v>0.0</v>
      </c>
      <c r="E27" s="7">
        <v>0.0</v>
      </c>
      <c r="F27" s="85">
        <v>0.0</v>
      </c>
      <c r="G27" s="7">
        <v>0.0</v>
      </c>
      <c r="H27" s="85">
        <v>0.0</v>
      </c>
      <c r="I27" s="7">
        <v>0.0</v>
      </c>
      <c r="J27" s="85">
        <v>0.0</v>
      </c>
      <c r="K27" s="7">
        <v>0.0</v>
      </c>
      <c r="L27" s="85">
        <v>0.0</v>
      </c>
      <c r="M27" s="7">
        <v>0.0</v>
      </c>
      <c r="N27" s="85">
        <v>0.0</v>
      </c>
      <c r="O27" s="7">
        <v>0.0</v>
      </c>
      <c r="P27" s="85">
        <v>0.0</v>
      </c>
      <c r="Q27" s="7">
        <v>0.0</v>
      </c>
      <c r="R27" s="85">
        <v>0.0</v>
      </c>
      <c r="S27" s="7">
        <v>0.0</v>
      </c>
      <c r="T27" s="85">
        <v>0.0</v>
      </c>
      <c r="U27" s="7">
        <v>0.0</v>
      </c>
      <c r="V27" s="85">
        <v>0.0</v>
      </c>
      <c r="W27" s="7">
        <v>0.0</v>
      </c>
      <c r="X27" s="85">
        <v>0.0</v>
      </c>
      <c r="Y27" s="7">
        <v>0.0</v>
      </c>
      <c r="Z27" s="85">
        <v>0.0</v>
      </c>
      <c r="AA27" s="7">
        <v>0.0</v>
      </c>
      <c r="AB27" s="85">
        <v>0.0</v>
      </c>
    </row>
    <row r="28" ht="14.25" customHeight="1" outlineLevel="1">
      <c r="A28" s="20"/>
      <c r="B28" s="72" t="s">
        <v>87</v>
      </c>
      <c r="C28" s="7">
        <v>0.0</v>
      </c>
      <c r="D28" s="53">
        <v>0.0</v>
      </c>
      <c r="E28" s="7">
        <v>0.0</v>
      </c>
      <c r="F28" s="53">
        <v>0.0</v>
      </c>
      <c r="G28" s="7">
        <v>0.0</v>
      </c>
      <c r="H28" s="53">
        <v>0.0</v>
      </c>
      <c r="I28" s="7">
        <v>0.0</v>
      </c>
      <c r="J28" s="53">
        <v>0.0</v>
      </c>
      <c r="K28" s="7">
        <v>0.0</v>
      </c>
      <c r="L28" s="53">
        <v>0.0</v>
      </c>
      <c r="M28" s="7">
        <v>0.0</v>
      </c>
      <c r="N28" s="53">
        <v>0.0</v>
      </c>
      <c r="O28" s="7">
        <v>0.0</v>
      </c>
      <c r="P28" s="53">
        <v>0.0</v>
      </c>
      <c r="Q28" s="7">
        <v>0.0</v>
      </c>
      <c r="R28" s="53">
        <v>0.0</v>
      </c>
      <c r="S28" s="7">
        <v>0.0</v>
      </c>
      <c r="T28" s="53">
        <v>0.0</v>
      </c>
      <c r="U28" s="7">
        <v>0.0</v>
      </c>
      <c r="V28" s="53">
        <v>0.0</v>
      </c>
      <c r="W28" s="7">
        <v>0.0</v>
      </c>
      <c r="X28" s="53">
        <v>0.0</v>
      </c>
      <c r="Y28" s="7">
        <v>0.0</v>
      </c>
      <c r="Z28" s="53">
        <v>0.0</v>
      </c>
      <c r="AA28" s="7">
        <v>0.0</v>
      </c>
      <c r="AB28" s="53">
        <v>0.0</v>
      </c>
    </row>
    <row r="29" ht="14.25" customHeight="1" outlineLevel="1">
      <c r="A29" s="20"/>
      <c r="B29" s="72" t="s">
        <v>88</v>
      </c>
      <c r="C29" s="7">
        <v>0.0</v>
      </c>
      <c r="D29" s="53">
        <v>0.0</v>
      </c>
      <c r="E29" s="7">
        <v>0.0</v>
      </c>
      <c r="F29" s="53">
        <v>0.0</v>
      </c>
      <c r="G29" s="7">
        <v>0.0</v>
      </c>
      <c r="H29" s="53">
        <v>0.0</v>
      </c>
      <c r="I29" s="7">
        <v>0.0</v>
      </c>
      <c r="J29" s="53">
        <v>0.0</v>
      </c>
      <c r="K29" s="7">
        <v>0.0</v>
      </c>
      <c r="L29" s="53">
        <v>0.0</v>
      </c>
      <c r="M29" s="7">
        <v>0.0</v>
      </c>
      <c r="N29" s="53">
        <v>0.0</v>
      </c>
      <c r="O29" s="7">
        <v>0.0</v>
      </c>
      <c r="P29" s="53">
        <v>0.0</v>
      </c>
      <c r="Q29" s="7">
        <v>0.0</v>
      </c>
      <c r="R29" s="53">
        <v>0.0</v>
      </c>
      <c r="S29" s="7">
        <v>0.0</v>
      </c>
      <c r="T29" s="53">
        <v>0.0</v>
      </c>
      <c r="U29" s="7">
        <v>0.0</v>
      </c>
      <c r="V29" s="53">
        <v>0.0</v>
      </c>
      <c r="W29" s="7">
        <v>0.0</v>
      </c>
      <c r="X29" s="53">
        <v>0.0</v>
      </c>
      <c r="Y29" s="7">
        <v>0.0</v>
      </c>
      <c r="Z29" s="53">
        <v>0.0</v>
      </c>
      <c r="AA29" s="7">
        <v>0.0</v>
      </c>
      <c r="AB29" s="53">
        <v>0.0</v>
      </c>
    </row>
    <row r="30" ht="14.25" customHeight="1" outlineLevel="1">
      <c r="A30" s="20"/>
      <c r="B30" s="72" t="s">
        <v>89</v>
      </c>
      <c r="C30" s="7">
        <v>0.0</v>
      </c>
      <c r="D30" s="53">
        <v>0.0</v>
      </c>
      <c r="E30" s="7">
        <v>0.0</v>
      </c>
      <c r="F30" s="53">
        <v>0.0</v>
      </c>
      <c r="G30" s="7">
        <v>0.0</v>
      </c>
      <c r="H30" s="53">
        <v>0.0</v>
      </c>
      <c r="I30" s="7">
        <v>0.0</v>
      </c>
      <c r="J30" s="53">
        <v>0.0</v>
      </c>
      <c r="K30" s="7">
        <v>0.0</v>
      </c>
      <c r="L30" s="53">
        <v>0.0</v>
      </c>
      <c r="M30" s="7">
        <v>0.0</v>
      </c>
      <c r="N30" s="53">
        <v>0.0</v>
      </c>
      <c r="O30" s="7">
        <v>0.0</v>
      </c>
      <c r="P30" s="53">
        <v>0.0</v>
      </c>
      <c r="Q30" s="7">
        <v>0.0</v>
      </c>
      <c r="R30" s="53">
        <v>0.0</v>
      </c>
      <c r="S30" s="7">
        <v>0.0</v>
      </c>
      <c r="T30" s="53">
        <v>0.0</v>
      </c>
      <c r="U30" s="7">
        <v>0.0</v>
      </c>
      <c r="V30" s="53">
        <v>0.0</v>
      </c>
      <c r="W30" s="7">
        <v>0.0</v>
      </c>
      <c r="X30" s="53">
        <v>0.0</v>
      </c>
      <c r="Y30" s="7">
        <v>0.0</v>
      </c>
      <c r="Z30" s="53">
        <v>0.0</v>
      </c>
      <c r="AA30" s="7">
        <v>0.0</v>
      </c>
      <c r="AB30" s="53">
        <v>0.0</v>
      </c>
    </row>
    <row r="31" ht="14.25" customHeight="1" outlineLevel="1">
      <c r="A31" s="20"/>
      <c r="B31" s="72" t="s">
        <v>90</v>
      </c>
      <c r="C31" s="7">
        <v>0.0</v>
      </c>
      <c r="D31" s="22">
        <v>0.0</v>
      </c>
      <c r="E31" s="7">
        <v>0.0</v>
      </c>
      <c r="F31" s="22">
        <v>0.0</v>
      </c>
      <c r="G31" s="7">
        <v>0.0</v>
      </c>
      <c r="H31" s="22">
        <v>0.0</v>
      </c>
      <c r="I31" s="7">
        <v>0.0</v>
      </c>
      <c r="J31" s="22">
        <v>0.0</v>
      </c>
      <c r="K31" s="7">
        <v>0.0</v>
      </c>
      <c r="L31" s="22">
        <v>0.0</v>
      </c>
      <c r="M31" s="7">
        <v>0.0</v>
      </c>
      <c r="N31" s="22">
        <v>0.0</v>
      </c>
      <c r="O31" s="7">
        <v>0.0</v>
      </c>
      <c r="P31" s="22">
        <v>0.0</v>
      </c>
      <c r="Q31" s="7">
        <v>0.0</v>
      </c>
      <c r="R31" s="22">
        <v>0.0</v>
      </c>
      <c r="S31" s="7">
        <v>0.0</v>
      </c>
      <c r="T31" s="22">
        <v>0.0</v>
      </c>
      <c r="U31" s="7">
        <v>0.0</v>
      </c>
      <c r="V31" s="22">
        <v>0.0</v>
      </c>
      <c r="W31" s="7">
        <v>0.0</v>
      </c>
      <c r="X31" s="22">
        <v>0.0</v>
      </c>
      <c r="Y31" s="7">
        <v>0.0</v>
      </c>
      <c r="Z31" s="22">
        <v>0.0</v>
      </c>
      <c r="AA31" s="7">
        <v>0.0</v>
      </c>
      <c r="AB31" s="22">
        <v>0.0</v>
      </c>
    </row>
    <row r="32" ht="14.25" customHeight="1" outlineLevel="1">
      <c r="A32" s="20"/>
      <c r="B32" s="72" t="s">
        <v>91</v>
      </c>
      <c r="C32" s="7">
        <v>0.0</v>
      </c>
      <c r="D32" s="53">
        <v>0.0</v>
      </c>
      <c r="E32" s="7">
        <v>0.0</v>
      </c>
      <c r="F32" s="53">
        <v>0.0</v>
      </c>
      <c r="G32" s="7">
        <v>0.0</v>
      </c>
      <c r="H32" s="53">
        <v>0.0</v>
      </c>
      <c r="I32" s="7">
        <v>0.0</v>
      </c>
      <c r="J32" s="53">
        <v>0.0</v>
      </c>
      <c r="K32" s="7">
        <v>0.0</v>
      </c>
      <c r="L32" s="53">
        <v>0.0</v>
      </c>
      <c r="M32" s="7">
        <v>0.0</v>
      </c>
      <c r="N32" s="53">
        <v>0.0</v>
      </c>
      <c r="O32" s="7">
        <v>0.0</v>
      </c>
      <c r="P32" s="53">
        <v>0.0</v>
      </c>
      <c r="Q32" s="7">
        <v>0.0</v>
      </c>
      <c r="R32" s="53">
        <v>0.0</v>
      </c>
      <c r="S32" s="7">
        <v>0.0</v>
      </c>
      <c r="T32" s="53">
        <v>0.0</v>
      </c>
      <c r="U32" s="7">
        <v>0.0</v>
      </c>
      <c r="V32" s="53">
        <v>0.0</v>
      </c>
      <c r="W32" s="7">
        <v>0.0</v>
      </c>
      <c r="X32" s="53">
        <v>0.0</v>
      </c>
      <c r="Y32" s="7">
        <v>0.0</v>
      </c>
      <c r="Z32" s="53">
        <v>0.0</v>
      </c>
      <c r="AA32" s="7">
        <v>0.0</v>
      </c>
      <c r="AB32" s="53">
        <v>0.0</v>
      </c>
    </row>
    <row r="33" ht="14.25" customHeight="1" outlineLevel="1">
      <c r="A33" s="20"/>
      <c r="B33" s="86" t="s">
        <v>92</v>
      </c>
      <c r="C33" s="30">
        <v>0.0</v>
      </c>
      <c r="D33" s="87">
        <v>0.0</v>
      </c>
      <c r="E33" s="30">
        <v>0.0</v>
      </c>
      <c r="F33" s="87">
        <v>0.0</v>
      </c>
      <c r="G33" s="30">
        <v>0.0</v>
      </c>
      <c r="H33" s="87">
        <v>0.0</v>
      </c>
      <c r="I33" s="30">
        <v>0.0</v>
      </c>
      <c r="J33" s="87">
        <v>0.0</v>
      </c>
      <c r="K33" s="30">
        <v>0.0</v>
      </c>
      <c r="L33" s="87">
        <v>0.0</v>
      </c>
      <c r="M33" s="30">
        <v>0.0</v>
      </c>
      <c r="N33" s="87">
        <v>0.0</v>
      </c>
      <c r="O33" s="30">
        <v>0.0</v>
      </c>
      <c r="P33" s="87">
        <v>0.0</v>
      </c>
      <c r="Q33" s="30">
        <v>0.0</v>
      </c>
      <c r="R33" s="87">
        <v>0.0</v>
      </c>
      <c r="S33" s="30">
        <v>0.0</v>
      </c>
      <c r="T33" s="87">
        <v>0.0</v>
      </c>
      <c r="U33" s="30">
        <v>0.0</v>
      </c>
      <c r="V33" s="87">
        <v>0.0</v>
      </c>
      <c r="W33" s="30">
        <v>0.0</v>
      </c>
      <c r="X33" s="87">
        <v>0.0</v>
      </c>
      <c r="Y33" s="30">
        <v>0.0</v>
      </c>
      <c r="Z33" s="87">
        <v>0.0</v>
      </c>
      <c r="AA33" s="30">
        <v>0.0</v>
      </c>
      <c r="AB33" s="87">
        <v>0.0</v>
      </c>
    </row>
    <row r="34" ht="14.25" customHeight="1" outlineLevel="1">
      <c r="A34" s="23"/>
      <c r="B34" s="80" t="s">
        <v>93</v>
      </c>
      <c r="C34" s="81">
        <v>0.0</v>
      </c>
      <c r="D34" s="82">
        <v>0.0</v>
      </c>
      <c r="E34" s="81">
        <v>0.0</v>
      </c>
      <c r="F34" s="82">
        <v>0.0</v>
      </c>
      <c r="G34" s="81">
        <v>0.0</v>
      </c>
      <c r="H34" s="82">
        <v>0.0</v>
      </c>
      <c r="I34" s="81">
        <v>0.0</v>
      </c>
      <c r="J34" s="82">
        <v>0.0</v>
      </c>
      <c r="K34" s="81">
        <v>0.0</v>
      </c>
      <c r="L34" s="82">
        <v>0.0</v>
      </c>
      <c r="M34" s="81">
        <v>0.0</v>
      </c>
      <c r="N34" s="82">
        <v>0.0</v>
      </c>
      <c r="O34" s="81">
        <v>0.0</v>
      </c>
      <c r="P34" s="82">
        <v>0.0</v>
      </c>
      <c r="Q34" s="81">
        <v>0.0</v>
      </c>
      <c r="R34" s="82">
        <v>0.0</v>
      </c>
      <c r="S34" s="81">
        <v>0.0</v>
      </c>
      <c r="T34" s="82">
        <v>0.0</v>
      </c>
      <c r="U34" s="81">
        <v>0.0</v>
      </c>
      <c r="V34" s="82">
        <v>0.0</v>
      </c>
      <c r="W34" s="81">
        <v>0.0</v>
      </c>
      <c r="X34" s="82">
        <v>0.0</v>
      </c>
      <c r="Y34" s="81">
        <v>0.0</v>
      </c>
      <c r="Z34" s="82">
        <v>0.0</v>
      </c>
      <c r="AA34" s="81">
        <v>0.0</v>
      </c>
      <c r="AB34" s="82">
        <v>0.0</v>
      </c>
    </row>
    <row r="35" ht="14.25" customHeight="1" outlineLevel="1">
      <c r="A35" s="88" t="s">
        <v>42</v>
      </c>
      <c r="B35" s="89" t="s">
        <v>94</v>
      </c>
      <c r="C35" s="90">
        <v>0.0</v>
      </c>
      <c r="D35" s="91">
        <v>0.0</v>
      </c>
      <c r="E35" s="90">
        <v>0.0</v>
      </c>
      <c r="F35" s="91">
        <v>0.0</v>
      </c>
      <c r="G35" s="90">
        <v>0.0</v>
      </c>
      <c r="H35" s="91">
        <v>0.0</v>
      </c>
      <c r="I35" s="90">
        <v>0.0</v>
      </c>
      <c r="J35" s="91">
        <v>0.0</v>
      </c>
      <c r="K35" s="90">
        <v>0.0</v>
      </c>
      <c r="L35" s="91">
        <v>0.0</v>
      </c>
      <c r="M35" s="90">
        <v>0.0</v>
      </c>
      <c r="N35" s="91">
        <v>0.0</v>
      </c>
      <c r="O35" s="90">
        <v>0.0</v>
      </c>
      <c r="P35" s="91">
        <v>0.0</v>
      </c>
      <c r="Q35" s="90">
        <v>0.0</v>
      </c>
      <c r="R35" s="91">
        <v>0.0</v>
      </c>
      <c r="S35" s="90">
        <v>0.0</v>
      </c>
      <c r="T35" s="91">
        <v>0.0</v>
      </c>
      <c r="U35" s="90">
        <v>0.0</v>
      </c>
      <c r="V35" s="91">
        <v>0.0</v>
      </c>
      <c r="W35" s="90">
        <v>0.0</v>
      </c>
      <c r="X35" s="91">
        <v>0.0</v>
      </c>
      <c r="Y35" s="90">
        <v>0.0</v>
      </c>
      <c r="Z35" s="91">
        <v>0.0</v>
      </c>
      <c r="AA35" s="90">
        <v>0.0</v>
      </c>
      <c r="AB35" s="91">
        <v>0.0</v>
      </c>
    </row>
    <row r="36" ht="14.25" customHeight="1" outlineLevel="1">
      <c r="A36" s="23"/>
      <c r="B36" s="92" t="s">
        <v>95</v>
      </c>
      <c r="C36" s="81">
        <v>0.0</v>
      </c>
      <c r="D36" s="93">
        <v>0.0</v>
      </c>
      <c r="E36" s="81">
        <v>0.0</v>
      </c>
      <c r="F36" s="93">
        <v>0.0</v>
      </c>
      <c r="G36" s="81">
        <v>0.0</v>
      </c>
      <c r="H36" s="93">
        <v>0.0</v>
      </c>
      <c r="I36" s="81">
        <v>0.0</v>
      </c>
      <c r="J36" s="93">
        <v>0.0</v>
      </c>
      <c r="K36" s="81">
        <v>0.0</v>
      </c>
      <c r="L36" s="93">
        <v>0.0</v>
      </c>
      <c r="M36" s="81">
        <v>0.0</v>
      </c>
      <c r="N36" s="93">
        <v>0.0</v>
      </c>
      <c r="O36" s="81">
        <v>0.0</v>
      </c>
      <c r="P36" s="93">
        <v>0.0</v>
      </c>
      <c r="Q36" s="81">
        <v>0.0</v>
      </c>
      <c r="R36" s="93">
        <v>0.0</v>
      </c>
      <c r="S36" s="81">
        <v>0.0</v>
      </c>
      <c r="T36" s="93">
        <v>0.0</v>
      </c>
      <c r="U36" s="81">
        <v>0.0</v>
      </c>
      <c r="V36" s="93">
        <v>0.0</v>
      </c>
      <c r="W36" s="81">
        <v>0.0</v>
      </c>
      <c r="X36" s="93">
        <v>0.0</v>
      </c>
      <c r="Y36" s="81">
        <v>0.0</v>
      </c>
      <c r="Z36" s="93">
        <v>0.0</v>
      </c>
      <c r="AA36" s="81">
        <v>0.0</v>
      </c>
      <c r="AB36" s="93">
        <v>0.0</v>
      </c>
    </row>
    <row r="37" ht="14.25" customHeight="1" outlineLevel="1">
      <c r="A37" s="94" t="s">
        <v>49</v>
      </c>
      <c r="B37" s="95" t="s">
        <v>27</v>
      </c>
      <c r="C37" s="90">
        <v>0.0</v>
      </c>
      <c r="D37" s="91">
        <v>0.0</v>
      </c>
      <c r="E37" s="90">
        <v>0.0</v>
      </c>
      <c r="F37" s="91">
        <v>0.0</v>
      </c>
      <c r="G37" s="90">
        <v>0.0</v>
      </c>
      <c r="H37" s="91">
        <v>0.0</v>
      </c>
      <c r="I37" s="90">
        <v>0.0</v>
      </c>
      <c r="J37" s="91">
        <v>0.0</v>
      </c>
      <c r="K37" s="90">
        <v>0.0</v>
      </c>
      <c r="L37" s="91">
        <v>0.0</v>
      </c>
      <c r="M37" s="90">
        <v>0.0</v>
      </c>
      <c r="N37" s="91">
        <v>0.0</v>
      </c>
      <c r="O37" s="90">
        <v>0.0</v>
      </c>
      <c r="P37" s="91">
        <v>0.0</v>
      </c>
      <c r="Q37" s="90">
        <v>0.0</v>
      </c>
      <c r="R37" s="91">
        <v>0.0</v>
      </c>
      <c r="S37" s="90">
        <v>0.0</v>
      </c>
      <c r="T37" s="91">
        <v>0.0</v>
      </c>
      <c r="U37" s="90">
        <v>0.0</v>
      </c>
      <c r="V37" s="91">
        <v>0.0</v>
      </c>
      <c r="W37" s="90">
        <v>0.0</v>
      </c>
      <c r="X37" s="91">
        <v>0.0</v>
      </c>
      <c r="Y37" s="90">
        <v>0.0</v>
      </c>
      <c r="Z37" s="91">
        <v>0.0</v>
      </c>
      <c r="AA37" s="90">
        <v>0.0</v>
      </c>
      <c r="AB37" s="91">
        <v>0.0</v>
      </c>
    </row>
    <row r="38" ht="14.25" customHeight="1" outlineLevel="1">
      <c r="A38" s="20"/>
      <c r="B38" s="72" t="s">
        <v>96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</row>
    <row r="39" ht="14.25" customHeight="1" outlineLevel="1">
      <c r="A39" s="20"/>
      <c r="B39" s="72" t="s">
        <v>97</v>
      </c>
      <c r="C39" s="53">
        <v>0.0</v>
      </c>
      <c r="D39" s="53">
        <v>0.0</v>
      </c>
      <c r="E39" s="53">
        <v>0.0</v>
      </c>
      <c r="F39" s="53">
        <v>0.0</v>
      </c>
      <c r="G39" s="53">
        <v>0.0</v>
      </c>
      <c r="H39" s="53">
        <v>0.0</v>
      </c>
      <c r="I39" s="53">
        <v>0.0</v>
      </c>
      <c r="J39" s="53">
        <v>0.0</v>
      </c>
      <c r="K39" s="53">
        <v>0.0</v>
      </c>
      <c r="L39" s="53">
        <v>0.0</v>
      </c>
      <c r="M39" s="53">
        <v>0.0</v>
      </c>
      <c r="N39" s="53">
        <v>0.0</v>
      </c>
      <c r="O39" s="53">
        <v>0.0</v>
      </c>
      <c r="P39" s="53">
        <v>0.0</v>
      </c>
      <c r="Q39" s="53">
        <v>0.0</v>
      </c>
      <c r="R39" s="53">
        <v>0.0</v>
      </c>
      <c r="S39" s="53">
        <v>0.0</v>
      </c>
      <c r="T39" s="53">
        <v>0.0</v>
      </c>
      <c r="U39" s="53">
        <v>0.0</v>
      </c>
      <c r="V39" s="53">
        <v>0.0</v>
      </c>
      <c r="W39" s="53">
        <v>0.0</v>
      </c>
      <c r="X39" s="53">
        <v>0.0</v>
      </c>
      <c r="Y39" s="53">
        <v>0.0</v>
      </c>
      <c r="Z39" s="53">
        <v>0.0</v>
      </c>
      <c r="AA39" s="53">
        <v>0.0</v>
      </c>
      <c r="AB39" s="53">
        <v>0.0</v>
      </c>
    </row>
    <row r="40" ht="14.25" customHeight="1" outlineLevel="1">
      <c r="A40" s="20"/>
      <c r="B40" s="60" t="s">
        <v>53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>
        <v>0.0</v>
      </c>
      <c r="N40" s="7">
        <v>0.0</v>
      </c>
      <c r="O40" s="7">
        <v>0.0</v>
      </c>
      <c r="P40" s="7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</row>
    <row r="41" ht="14.25" customHeight="1" outlineLevel="1">
      <c r="A41" s="20"/>
      <c r="B41" s="72" t="s">
        <v>98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7">
        <v>0.0</v>
      </c>
      <c r="P41" s="7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</row>
    <row r="42" ht="14.25" customHeight="1" outlineLevel="1">
      <c r="A42" s="20"/>
      <c r="B42" s="72" t="s">
        <v>99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>
        <v>0.0</v>
      </c>
      <c r="N42" s="7">
        <v>0.0</v>
      </c>
      <c r="O42" s="7">
        <v>0.0</v>
      </c>
      <c r="P42" s="7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</row>
    <row r="43" ht="14.25" customHeight="1" outlineLevel="1">
      <c r="A43" s="32"/>
      <c r="B43" s="96" t="s">
        <v>99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0.0</v>
      </c>
      <c r="I43" s="7">
        <v>0.0</v>
      </c>
      <c r="J43" s="7">
        <v>0.0</v>
      </c>
      <c r="K43" s="7">
        <v>0.0</v>
      </c>
      <c r="L43" s="7">
        <v>0.0</v>
      </c>
      <c r="M43" s="7">
        <v>0.0</v>
      </c>
      <c r="N43" s="7">
        <v>0.0</v>
      </c>
      <c r="O43" s="7">
        <v>0.0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</row>
    <row r="44" ht="14.25" customHeight="1">
      <c r="A44" s="97"/>
      <c r="B44" s="75" t="s">
        <v>58</v>
      </c>
      <c r="C44" s="24">
        <f t="shared" ref="C44:AB44" si="12">SUM(C20:C43)</f>
        <v>0</v>
      </c>
      <c r="D44" s="24">
        <f t="shared" si="12"/>
        <v>0</v>
      </c>
      <c r="E44" s="24">
        <f t="shared" si="12"/>
        <v>0</v>
      </c>
      <c r="F44" s="24">
        <f t="shared" si="12"/>
        <v>0</v>
      </c>
      <c r="G44" s="24">
        <f t="shared" si="12"/>
        <v>0</v>
      </c>
      <c r="H44" s="24">
        <f t="shared" si="12"/>
        <v>0</v>
      </c>
      <c r="I44" s="24">
        <f t="shared" si="12"/>
        <v>0</v>
      </c>
      <c r="J44" s="24">
        <f t="shared" si="12"/>
        <v>0</v>
      </c>
      <c r="K44" s="24">
        <f t="shared" si="12"/>
        <v>0</v>
      </c>
      <c r="L44" s="24">
        <f t="shared" si="12"/>
        <v>0</v>
      </c>
      <c r="M44" s="24">
        <f t="shared" si="12"/>
        <v>0</v>
      </c>
      <c r="N44" s="24">
        <f t="shared" si="12"/>
        <v>0</v>
      </c>
      <c r="O44" s="24">
        <f t="shared" si="12"/>
        <v>0</v>
      </c>
      <c r="P44" s="24">
        <f t="shared" si="12"/>
        <v>0</v>
      </c>
      <c r="Q44" s="24">
        <f t="shared" si="12"/>
        <v>0</v>
      </c>
      <c r="R44" s="24">
        <f t="shared" si="12"/>
        <v>0</v>
      </c>
      <c r="S44" s="24">
        <f t="shared" si="12"/>
        <v>0</v>
      </c>
      <c r="T44" s="24">
        <f t="shared" si="12"/>
        <v>0</v>
      </c>
      <c r="U44" s="24">
        <f t="shared" si="12"/>
        <v>0</v>
      </c>
      <c r="V44" s="24">
        <f t="shared" si="12"/>
        <v>0</v>
      </c>
      <c r="W44" s="24">
        <f t="shared" si="12"/>
        <v>0</v>
      </c>
      <c r="X44" s="24">
        <f t="shared" si="12"/>
        <v>0</v>
      </c>
      <c r="Y44" s="24">
        <f t="shared" si="12"/>
        <v>0</v>
      </c>
      <c r="Z44" s="24">
        <f t="shared" si="12"/>
        <v>0</v>
      </c>
      <c r="AA44" s="24">
        <f t="shared" si="12"/>
        <v>0</v>
      </c>
      <c r="AB44" s="24">
        <f t="shared" si="12"/>
        <v>0</v>
      </c>
    </row>
    <row r="45" ht="14.25" customHeight="1">
      <c r="A45" s="60"/>
      <c r="B45" s="60"/>
      <c r="C45" s="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98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</row>
    <row r="46" ht="14.25" customHeight="1">
      <c r="A46" s="10"/>
      <c r="B46" s="11" t="s">
        <v>59</v>
      </c>
      <c r="C46" s="13">
        <f t="shared" ref="C46:AB46" si="13">+C4+C18-C44</f>
        <v>0</v>
      </c>
      <c r="D46" s="13">
        <f t="shared" si="13"/>
        <v>0</v>
      </c>
      <c r="E46" s="13">
        <f t="shared" si="13"/>
        <v>0</v>
      </c>
      <c r="F46" s="13">
        <f t="shared" si="13"/>
        <v>0</v>
      </c>
      <c r="G46" s="13">
        <f t="shared" si="13"/>
        <v>0</v>
      </c>
      <c r="H46" s="13">
        <f t="shared" si="13"/>
        <v>0</v>
      </c>
      <c r="I46" s="13">
        <f t="shared" si="13"/>
        <v>0</v>
      </c>
      <c r="J46" s="13">
        <f t="shared" si="13"/>
        <v>0</v>
      </c>
      <c r="K46" s="13">
        <f t="shared" si="13"/>
        <v>0</v>
      </c>
      <c r="L46" s="13">
        <f t="shared" si="13"/>
        <v>0</v>
      </c>
      <c r="M46" s="13">
        <f t="shared" si="13"/>
        <v>0</v>
      </c>
      <c r="N46" s="46">
        <f t="shared" si="13"/>
        <v>0</v>
      </c>
      <c r="O46" s="13">
        <f t="shared" si="13"/>
        <v>0</v>
      </c>
      <c r="P46" s="13">
        <f t="shared" si="13"/>
        <v>0</v>
      </c>
      <c r="Q46" s="46">
        <f t="shared" si="13"/>
        <v>0</v>
      </c>
      <c r="R46" s="13">
        <f t="shared" si="13"/>
        <v>0</v>
      </c>
      <c r="S46" s="13">
        <f t="shared" si="13"/>
        <v>0</v>
      </c>
      <c r="T46" s="46">
        <f t="shared" si="13"/>
        <v>0</v>
      </c>
      <c r="U46" s="13">
        <f t="shared" si="13"/>
        <v>0</v>
      </c>
      <c r="V46" s="46">
        <f t="shared" si="13"/>
        <v>0</v>
      </c>
      <c r="W46" s="13">
        <f t="shared" si="13"/>
        <v>0</v>
      </c>
      <c r="X46" s="13">
        <f t="shared" si="13"/>
        <v>0</v>
      </c>
      <c r="Y46" s="46">
        <f t="shared" si="13"/>
        <v>0</v>
      </c>
      <c r="Z46" s="13">
        <f t="shared" si="13"/>
        <v>0</v>
      </c>
      <c r="AA46" s="46">
        <f t="shared" si="13"/>
        <v>0</v>
      </c>
      <c r="AB46" s="13">
        <f t="shared" si="13"/>
        <v>0</v>
      </c>
    </row>
    <row r="47" ht="14.25" customHeight="1">
      <c r="A47" s="60"/>
      <c r="B47" s="60" t="s">
        <v>100</v>
      </c>
      <c r="C47" s="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98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</row>
    <row r="48" ht="14.25" customHeight="1">
      <c r="A48" s="60"/>
      <c r="B48" s="60" t="s">
        <v>101</v>
      </c>
      <c r="C48" s="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98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</row>
    <row r="49" ht="14.25" customHeight="1">
      <c r="A49" s="60"/>
      <c r="B49" s="60"/>
      <c r="C49" s="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98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</row>
    <row r="50" ht="14.25" customHeight="1">
      <c r="A50" s="100" t="s">
        <v>102</v>
      </c>
      <c r="B50" s="101" t="s">
        <v>1</v>
      </c>
      <c r="C50" s="102">
        <v>0.0</v>
      </c>
      <c r="D50" s="103">
        <f t="shared" ref="D50:AB50" si="14">C55</f>
        <v>0</v>
      </c>
      <c r="E50" s="103">
        <f t="shared" si="14"/>
        <v>0</v>
      </c>
      <c r="F50" s="103">
        <f t="shared" si="14"/>
        <v>0</v>
      </c>
      <c r="G50" s="103">
        <f t="shared" si="14"/>
        <v>0</v>
      </c>
      <c r="H50" s="103">
        <f t="shared" si="14"/>
        <v>0</v>
      </c>
      <c r="I50" s="103">
        <f t="shared" si="14"/>
        <v>0</v>
      </c>
      <c r="J50" s="103">
        <f t="shared" si="14"/>
        <v>0</v>
      </c>
      <c r="K50" s="103">
        <f t="shared" si="14"/>
        <v>0</v>
      </c>
      <c r="L50" s="103">
        <f t="shared" si="14"/>
        <v>0</v>
      </c>
      <c r="M50" s="103">
        <f t="shared" si="14"/>
        <v>0</v>
      </c>
      <c r="N50" s="104">
        <f t="shared" si="14"/>
        <v>0</v>
      </c>
      <c r="O50" s="103">
        <f t="shared" si="14"/>
        <v>0</v>
      </c>
      <c r="P50" s="104">
        <f t="shared" si="14"/>
        <v>0</v>
      </c>
      <c r="Q50" s="103">
        <f t="shared" si="14"/>
        <v>0</v>
      </c>
      <c r="R50" s="104">
        <f t="shared" si="14"/>
        <v>0</v>
      </c>
      <c r="S50" s="103">
        <f t="shared" si="14"/>
        <v>0</v>
      </c>
      <c r="T50" s="104">
        <f t="shared" si="14"/>
        <v>0</v>
      </c>
      <c r="U50" s="103">
        <f t="shared" si="14"/>
        <v>0</v>
      </c>
      <c r="V50" s="103">
        <f t="shared" si="14"/>
        <v>0</v>
      </c>
      <c r="W50" s="104">
        <f t="shared" si="14"/>
        <v>0</v>
      </c>
      <c r="X50" s="103">
        <f t="shared" si="14"/>
        <v>0</v>
      </c>
      <c r="Y50" s="104">
        <f t="shared" si="14"/>
        <v>0</v>
      </c>
      <c r="Z50" s="103">
        <f t="shared" si="14"/>
        <v>0</v>
      </c>
      <c r="AA50" s="103">
        <f t="shared" si="14"/>
        <v>0</v>
      </c>
      <c r="AB50" s="104">
        <f t="shared" si="14"/>
        <v>0</v>
      </c>
    </row>
    <row r="51" ht="14.25" customHeight="1">
      <c r="A51" s="20"/>
      <c r="B51" s="60" t="s">
        <v>103</v>
      </c>
      <c r="C51" s="53">
        <v>0.0</v>
      </c>
      <c r="D51" s="7">
        <v>0.0</v>
      </c>
      <c r="E51" s="53">
        <v>0.0</v>
      </c>
      <c r="F51" s="7">
        <v>0.0</v>
      </c>
      <c r="G51" s="53">
        <v>0.0</v>
      </c>
      <c r="H51" s="7">
        <v>0.0</v>
      </c>
      <c r="I51" s="53">
        <v>0.0</v>
      </c>
      <c r="J51" s="7">
        <v>0.0</v>
      </c>
      <c r="K51" s="53">
        <v>0.0</v>
      </c>
      <c r="L51" s="7">
        <v>0.0</v>
      </c>
      <c r="M51" s="53">
        <v>0.0</v>
      </c>
      <c r="N51" s="7">
        <v>0.0</v>
      </c>
      <c r="O51" s="53">
        <v>0.0</v>
      </c>
      <c r="P51" s="7">
        <v>0.0</v>
      </c>
      <c r="Q51" s="53">
        <v>0.0</v>
      </c>
      <c r="R51" s="7">
        <v>0.0</v>
      </c>
      <c r="S51" s="53">
        <v>0.0</v>
      </c>
      <c r="T51" s="7">
        <v>0.0</v>
      </c>
      <c r="U51" s="53">
        <v>0.0</v>
      </c>
      <c r="V51" s="7">
        <v>0.0</v>
      </c>
      <c r="W51" s="53">
        <v>0.0</v>
      </c>
      <c r="X51" s="7">
        <v>0.0</v>
      </c>
      <c r="Y51" s="53">
        <v>0.0</v>
      </c>
      <c r="Z51" s="7">
        <v>0.0</v>
      </c>
      <c r="AA51" s="53">
        <v>0.0</v>
      </c>
      <c r="AB51" s="7">
        <v>0.0</v>
      </c>
    </row>
    <row r="52" ht="14.25" customHeight="1">
      <c r="A52" s="20"/>
      <c r="B52" s="60" t="s">
        <v>104</v>
      </c>
      <c r="C52" s="53">
        <v>0.0</v>
      </c>
      <c r="D52" s="53">
        <v>0.0</v>
      </c>
      <c r="E52" s="53">
        <v>0.0</v>
      </c>
      <c r="F52" s="53">
        <v>0.0</v>
      </c>
      <c r="G52" s="53">
        <v>0.0</v>
      </c>
      <c r="H52" s="53">
        <v>0.0</v>
      </c>
      <c r="I52" s="53">
        <v>0.0</v>
      </c>
      <c r="J52" s="53">
        <v>0.0</v>
      </c>
      <c r="K52" s="53">
        <v>0.0</v>
      </c>
      <c r="L52" s="53">
        <v>0.0</v>
      </c>
      <c r="M52" s="53">
        <v>0.0</v>
      </c>
      <c r="N52" s="53">
        <v>0.0</v>
      </c>
      <c r="O52" s="53">
        <v>0.0</v>
      </c>
      <c r="P52" s="53">
        <v>0.0</v>
      </c>
      <c r="Q52" s="53">
        <v>0.0</v>
      </c>
      <c r="R52" s="53">
        <v>0.0</v>
      </c>
      <c r="S52" s="53">
        <v>0.0</v>
      </c>
      <c r="T52" s="53">
        <v>0.0</v>
      </c>
      <c r="U52" s="53">
        <v>0.0</v>
      </c>
      <c r="V52" s="53">
        <v>0.0</v>
      </c>
      <c r="W52" s="53">
        <v>0.0</v>
      </c>
      <c r="X52" s="53">
        <v>0.0</v>
      </c>
      <c r="Y52" s="53">
        <v>0.0</v>
      </c>
      <c r="Z52" s="53">
        <v>0.0</v>
      </c>
      <c r="AA52" s="53">
        <v>0.0</v>
      </c>
      <c r="AB52" s="53">
        <v>0.0</v>
      </c>
    </row>
    <row r="53" ht="14.25" customHeight="1">
      <c r="A53" s="20"/>
      <c r="B53" s="86" t="s">
        <v>105</v>
      </c>
      <c r="C53" s="7">
        <v>0.0</v>
      </c>
      <c r="D53" s="7">
        <v>0.0</v>
      </c>
      <c r="E53" s="7">
        <v>0.0</v>
      </c>
      <c r="F53" s="7">
        <v>0.0</v>
      </c>
      <c r="G53" s="7">
        <v>0.0</v>
      </c>
      <c r="H53" s="7">
        <v>0.0</v>
      </c>
      <c r="I53" s="7">
        <v>0.0</v>
      </c>
      <c r="J53" s="7">
        <v>0.0</v>
      </c>
      <c r="K53" s="7">
        <v>0.0</v>
      </c>
      <c r="L53" s="7">
        <v>0.0</v>
      </c>
      <c r="M53" s="7">
        <v>0.0</v>
      </c>
      <c r="N53" s="7">
        <v>0.0</v>
      </c>
      <c r="O53" s="7">
        <v>0.0</v>
      </c>
      <c r="P53" s="7">
        <v>0.0</v>
      </c>
      <c r="Q53" s="7">
        <v>0.0</v>
      </c>
      <c r="R53" s="7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</row>
    <row r="54" ht="14.25" customHeight="1">
      <c r="A54" s="20"/>
      <c r="B54" s="86" t="s">
        <v>106</v>
      </c>
      <c r="C54" s="7">
        <v>0.0</v>
      </c>
      <c r="D54" s="7">
        <v>0.0</v>
      </c>
      <c r="E54" s="7">
        <v>0.0</v>
      </c>
      <c r="F54" s="7">
        <v>0.0</v>
      </c>
      <c r="G54" s="7">
        <v>0.0</v>
      </c>
      <c r="H54" s="7">
        <v>0.0</v>
      </c>
      <c r="I54" s="7">
        <v>0.0</v>
      </c>
      <c r="J54" s="7">
        <v>0.0</v>
      </c>
      <c r="K54" s="7">
        <v>0.0</v>
      </c>
      <c r="L54" s="7">
        <v>0.0</v>
      </c>
      <c r="M54" s="7">
        <v>0.0</v>
      </c>
      <c r="N54" s="7">
        <v>0.0</v>
      </c>
      <c r="O54" s="7">
        <v>0.0</v>
      </c>
      <c r="P54" s="7">
        <v>0.0</v>
      </c>
      <c r="Q54" s="7">
        <v>0.0</v>
      </c>
      <c r="R54" s="7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</row>
    <row r="55" ht="14.25" customHeight="1">
      <c r="A55" s="23"/>
      <c r="B55" s="105" t="s">
        <v>59</v>
      </c>
      <c r="C55" s="24">
        <f t="shared" ref="C55:AB55" si="15">+C50+C51-C52+C53+C54</f>
        <v>0</v>
      </c>
      <c r="D55" s="24">
        <f t="shared" si="15"/>
        <v>0</v>
      </c>
      <c r="E55" s="24">
        <f t="shared" si="15"/>
        <v>0</v>
      </c>
      <c r="F55" s="24">
        <f t="shared" si="15"/>
        <v>0</v>
      </c>
      <c r="G55" s="24">
        <f t="shared" si="15"/>
        <v>0</v>
      </c>
      <c r="H55" s="24">
        <f t="shared" si="15"/>
        <v>0</v>
      </c>
      <c r="I55" s="24">
        <f t="shared" si="15"/>
        <v>0</v>
      </c>
      <c r="J55" s="24">
        <f t="shared" si="15"/>
        <v>0</v>
      </c>
      <c r="K55" s="24">
        <f t="shared" si="15"/>
        <v>0</v>
      </c>
      <c r="L55" s="24">
        <f t="shared" si="15"/>
        <v>0</v>
      </c>
      <c r="M55" s="24">
        <f t="shared" si="15"/>
        <v>0</v>
      </c>
      <c r="N55" s="24">
        <f t="shared" si="15"/>
        <v>0</v>
      </c>
      <c r="O55" s="24">
        <f t="shared" si="15"/>
        <v>0</v>
      </c>
      <c r="P55" s="24">
        <f t="shared" si="15"/>
        <v>0</v>
      </c>
      <c r="Q55" s="24">
        <f t="shared" si="15"/>
        <v>0</v>
      </c>
      <c r="R55" s="24">
        <f t="shared" si="15"/>
        <v>0</v>
      </c>
      <c r="S55" s="24">
        <f t="shared" si="15"/>
        <v>0</v>
      </c>
      <c r="T55" s="24">
        <f t="shared" si="15"/>
        <v>0</v>
      </c>
      <c r="U55" s="24">
        <f t="shared" si="15"/>
        <v>0</v>
      </c>
      <c r="V55" s="24">
        <f t="shared" si="15"/>
        <v>0</v>
      </c>
      <c r="W55" s="24">
        <f t="shared" si="15"/>
        <v>0</v>
      </c>
      <c r="X55" s="24">
        <f t="shared" si="15"/>
        <v>0</v>
      </c>
      <c r="Y55" s="24">
        <f t="shared" si="15"/>
        <v>0</v>
      </c>
      <c r="Z55" s="24">
        <f t="shared" si="15"/>
        <v>0</v>
      </c>
      <c r="AA55" s="24">
        <f t="shared" si="15"/>
        <v>0</v>
      </c>
      <c r="AB55" s="24">
        <f t="shared" si="15"/>
        <v>0</v>
      </c>
    </row>
    <row r="56" ht="14.2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</row>
    <row r="57" ht="14.2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</row>
    <row r="58" ht="14.25" customHeight="1">
      <c r="A58" s="106"/>
      <c r="B58" s="106"/>
      <c r="C58" s="106"/>
      <c r="D58" s="106"/>
      <c r="E58" s="49"/>
      <c r="F58" s="48"/>
      <c r="G58" s="49"/>
      <c r="H58" s="106"/>
      <c r="I58" s="106"/>
      <c r="J58" s="106"/>
      <c r="K58" s="49" t="s">
        <v>62</v>
      </c>
      <c r="L58" s="48"/>
      <c r="M58" s="49" t="s">
        <v>63</v>
      </c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</row>
    <row r="59" ht="14.2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</row>
    <row r="60" ht="14.2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</row>
    <row r="61" ht="14.2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</row>
    <row r="62" ht="14.2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</row>
    <row r="63" ht="14.2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</row>
    <row r="64" ht="14.2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</row>
    <row r="65" ht="14.2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</row>
    <row r="66" ht="14.2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</row>
    <row r="67" ht="14.2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</row>
    <row r="68" ht="14.2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</row>
    <row r="69" ht="14.2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</row>
    <row r="70" ht="14.2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</row>
    <row r="71" ht="14.2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</row>
    <row r="72" ht="14.2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</row>
    <row r="73" ht="14.2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</row>
    <row r="74" ht="14.2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</row>
    <row r="75" ht="14.2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</row>
    <row r="76" ht="14.2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</row>
    <row r="77" ht="14.2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</row>
    <row r="78" ht="14.2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</row>
    <row r="79" ht="14.2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</row>
    <row r="80" ht="14.2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</row>
    <row r="86" ht="14.2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</row>
    <row r="87" ht="14.2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</row>
    <row r="88" ht="14.2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</row>
    <row r="89" ht="14.2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</row>
    <row r="90" ht="14.2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</row>
    <row r="91" ht="14.2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</row>
    <row r="92" ht="14.2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</row>
    <row r="93" ht="14.2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</row>
    <row r="94" ht="14.2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</row>
    <row r="95" ht="14.2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</row>
    <row r="96" ht="14.2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</row>
    <row r="97" ht="14.2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</row>
    <row r="98" ht="14.2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</row>
    <row r="99" ht="14.2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</row>
    <row r="100" ht="14.2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</row>
    <row r="101" ht="14.2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</row>
    <row r="102" ht="14.2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</row>
    <row r="103" ht="14.2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</row>
    <row r="104" ht="14.2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</row>
    <row r="105" ht="14.2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</row>
    <row r="106" ht="14.2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</row>
    <row r="107" ht="14.2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</row>
    <row r="108" ht="14.2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</row>
    <row r="109" ht="14.2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</row>
    <row r="110" ht="14.2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</row>
    <row r="111" ht="14.2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</row>
    <row r="112" ht="14.2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</row>
    <row r="113" ht="14.2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</row>
    <row r="114" ht="14.2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</row>
    <row r="115" ht="14.2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</row>
    <row r="116" ht="14.2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</row>
    <row r="117" ht="14.2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</row>
    <row r="118" ht="14.2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</row>
    <row r="119" ht="14.2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</row>
    <row r="120" ht="14.2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</row>
    <row r="121" ht="14.2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</row>
    <row r="122" ht="14.2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</row>
    <row r="123" ht="14.2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</row>
    <row r="124" ht="14.2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</row>
    <row r="125" ht="14.2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</row>
    <row r="126" ht="14.2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</row>
    <row r="127" ht="14.2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</row>
    <row r="128" ht="14.2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</row>
    <row r="129" ht="14.2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</row>
    <row r="130" ht="14.2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</row>
    <row r="131" ht="14.2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</row>
    <row r="132" ht="14.2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</row>
    <row r="133" ht="14.2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</row>
    <row r="134" ht="14.2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</row>
    <row r="135" ht="14.2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</row>
    <row r="136" ht="14.2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</row>
    <row r="137" ht="14.2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</row>
    <row r="138" ht="14.2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</row>
    <row r="139" ht="14.2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</row>
    <row r="140" ht="14.2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</row>
    <row r="141" ht="14.2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</row>
    <row r="142" ht="14.2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</row>
    <row r="143" ht="14.2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</row>
    <row r="144" ht="14.2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</row>
    <row r="145" ht="14.2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</row>
    <row r="146" ht="14.2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</row>
    <row r="147" ht="14.2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</row>
    <row r="148" ht="14.2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</row>
    <row r="149" ht="14.2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</row>
    <row r="150" ht="14.2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</row>
    <row r="151" ht="14.2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</row>
    <row r="152" ht="14.2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</row>
    <row r="153" ht="14.2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</row>
    <row r="154" ht="14.2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</row>
    <row r="155" ht="14.2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</row>
    <row r="156" ht="14.2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</row>
    <row r="157" ht="14.2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</row>
    <row r="158" ht="14.2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</row>
    <row r="159" ht="14.2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</row>
    <row r="160" ht="14.2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</row>
    <row r="161" ht="14.2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</row>
    <row r="162" ht="14.2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</row>
    <row r="163" ht="14.2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</row>
    <row r="164" ht="14.2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</row>
    <row r="165" ht="14.2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</row>
    <row r="166" ht="14.2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</row>
    <row r="167" ht="14.2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</row>
    <row r="168" ht="14.2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</row>
    <row r="169" ht="14.2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</row>
    <row r="170" ht="14.2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</row>
    <row r="171" ht="14.2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</row>
    <row r="172" ht="14.2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</row>
    <row r="173" ht="14.2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</row>
    <row r="174" ht="14.2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</row>
    <row r="175" ht="14.2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</row>
    <row r="176" ht="14.2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</row>
    <row r="177" ht="14.2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</row>
    <row r="178" ht="14.2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</row>
    <row r="179" ht="14.2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</row>
    <row r="180" ht="14.2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</row>
    <row r="181" ht="14.2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</row>
    <row r="182" ht="14.2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</row>
    <row r="183" ht="14.2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</row>
    <row r="184" ht="14.2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</row>
    <row r="185" ht="14.2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</row>
    <row r="186" ht="14.2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</row>
    <row r="187" ht="14.2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</row>
    <row r="188" ht="14.2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</row>
    <row r="189" ht="14.2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</row>
    <row r="190" ht="14.2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</row>
    <row r="191" ht="14.2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</row>
    <row r="192" ht="14.2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</row>
    <row r="193" ht="14.2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</row>
    <row r="194" ht="14.2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</row>
    <row r="195" ht="14.2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</row>
    <row r="196" ht="14.2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</row>
    <row r="197" ht="14.2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</row>
    <row r="198" ht="14.2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</row>
    <row r="199" ht="14.2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</row>
    <row r="200" ht="14.2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</row>
    <row r="201" ht="14.2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</row>
    <row r="202" ht="14.2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</row>
    <row r="203" ht="14.2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</row>
    <row r="204" ht="14.2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</row>
    <row r="205" ht="14.2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</row>
    <row r="206" ht="14.2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</row>
    <row r="207" ht="14.2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</row>
    <row r="208" ht="14.2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</row>
    <row r="209" ht="14.2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</row>
    <row r="210" ht="14.2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</row>
    <row r="211" ht="14.2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</row>
    <row r="212" ht="14.2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</row>
    <row r="213" ht="14.2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</row>
    <row r="214" ht="14.2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</row>
    <row r="215" ht="14.2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</row>
    <row r="216" ht="14.2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</row>
    <row r="217" ht="14.2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</row>
    <row r="218" ht="14.2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</row>
    <row r="219" ht="14.2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</row>
    <row r="220" ht="14.2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</row>
    <row r="221" ht="14.2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</row>
    <row r="222" ht="14.2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</row>
    <row r="223" ht="14.2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</row>
    <row r="224" ht="14.2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</row>
    <row r="225" ht="14.2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</row>
    <row r="226" ht="14.2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</row>
    <row r="227" ht="14.2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</row>
    <row r="228" ht="14.2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</row>
    <row r="229" ht="14.2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</row>
    <row r="230" ht="14.2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</row>
    <row r="231" ht="14.2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</row>
    <row r="232" ht="14.2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</row>
    <row r="233" ht="14.2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</row>
    <row r="234" ht="14.2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</row>
    <row r="235" ht="14.2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</row>
    <row r="236" ht="14.2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</row>
    <row r="237" ht="14.2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</row>
    <row r="238" ht="14.2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</row>
    <row r="239" ht="14.2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</row>
    <row r="240" ht="14.2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</row>
    <row r="241" ht="14.2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</row>
    <row r="242" ht="14.2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</row>
    <row r="243" ht="14.2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</row>
    <row r="244" ht="14.2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</row>
    <row r="245" ht="14.2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</row>
    <row r="246" ht="14.2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</row>
    <row r="247" ht="14.2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</row>
    <row r="248" ht="14.2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</row>
    <row r="249" ht="14.2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</row>
    <row r="250" ht="14.2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</row>
    <row r="251" ht="14.2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</row>
    <row r="252" ht="14.2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</row>
    <row r="253" ht="14.2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</row>
    <row r="254" ht="14.2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</row>
    <row r="255" ht="14.2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</row>
    <row r="256" ht="14.2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</row>
    <row r="257" ht="14.2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</row>
    <row r="258" ht="14.2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</row>
    <row r="259" ht="14.2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</row>
    <row r="260" ht="14.2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</row>
    <row r="261" ht="14.2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  <c r="AB261" s="106"/>
    </row>
    <row r="262" ht="14.2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  <c r="AB262" s="106"/>
    </row>
    <row r="263" ht="14.2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  <c r="AB263" s="106"/>
    </row>
    <row r="264" ht="14.2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  <c r="AB264" s="106"/>
    </row>
    <row r="265" ht="14.2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  <c r="AB265" s="106"/>
    </row>
    <row r="266" ht="14.2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  <c r="AB266" s="106"/>
    </row>
    <row r="267" ht="14.2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  <c r="AB267" s="106"/>
    </row>
    <row r="268" ht="14.2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</row>
    <row r="269" ht="14.2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</row>
    <row r="270" ht="14.2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  <c r="AA270" s="106"/>
      <c r="AB270" s="106"/>
    </row>
    <row r="271" ht="14.2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  <c r="AA271" s="106"/>
      <c r="AB271" s="106"/>
    </row>
    <row r="272" ht="14.2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  <c r="AA272" s="106"/>
      <c r="AB272" s="106"/>
    </row>
    <row r="273" ht="14.2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  <c r="AA273" s="106"/>
      <c r="AB273" s="106"/>
    </row>
    <row r="274" ht="14.2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  <c r="AA274" s="106"/>
      <c r="AB274" s="106"/>
    </row>
    <row r="275" ht="14.2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  <c r="AA275" s="106"/>
      <c r="AB275" s="106"/>
    </row>
    <row r="276" ht="14.2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  <c r="AA276" s="106"/>
      <c r="AB276" s="106"/>
    </row>
    <row r="277" ht="14.2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  <c r="AA277" s="106"/>
      <c r="AB277" s="106"/>
    </row>
    <row r="278" ht="14.2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  <c r="AA278" s="106"/>
      <c r="AB278" s="106"/>
    </row>
    <row r="279" ht="14.2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  <c r="AA279" s="106"/>
      <c r="AB279" s="106"/>
    </row>
    <row r="280" ht="14.2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  <c r="AA280" s="106"/>
      <c r="AB280" s="106"/>
    </row>
    <row r="281" ht="14.2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</row>
    <row r="282" ht="14.2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  <c r="AA282" s="106"/>
      <c r="AB282" s="106"/>
    </row>
    <row r="283" ht="14.2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  <c r="AA283" s="106"/>
      <c r="AB283" s="106"/>
    </row>
    <row r="284" ht="14.2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  <c r="AA284" s="106"/>
      <c r="AB284" s="106"/>
    </row>
    <row r="285" ht="14.2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  <c r="AA285" s="106"/>
      <c r="AB285" s="106"/>
    </row>
    <row r="286" ht="14.2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  <c r="AA286" s="106"/>
      <c r="AB286" s="106"/>
    </row>
    <row r="287" ht="14.2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  <c r="AA287" s="106"/>
      <c r="AB287" s="106"/>
    </row>
    <row r="288" ht="14.2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  <c r="AA288" s="106"/>
      <c r="AB288" s="106"/>
    </row>
    <row r="289" ht="14.2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  <c r="AA289" s="106"/>
      <c r="AB289" s="106"/>
    </row>
    <row r="290" ht="14.2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  <c r="AA290" s="106"/>
      <c r="AB290" s="106"/>
    </row>
    <row r="291" ht="14.2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  <c r="AA291" s="106"/>
      <c r="AB291" s="106"/>
    </row>
    <row r="292" ht="14.2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  <c r="AA292" s="106"/>
      <c r="AB292" s="106"/>
    </row>
    <row r="293" ht="14.2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  <c r="AA293" s="106"/>
      <c r="AB293" s="106"/>
    </row>
    <row r="294" ht="14.2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  <c r="AA294" s="106"/>
      <c r="AB294" s="106"/>
    </row>
    <row r="295" ht="14.2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  <c r="AA295" s="106"/>
      <c r="AB295" s="106"/>
    </row>
    <row r="296" ht="14.2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  <c r="AA296" s="106"/>
      <c r="AB296" s="106"/>
    </row>
    <row r="297" ht="14.25" customHeight="1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  <c r="AA297" s="106"/>
      <c r="AB297" s="106"/>
    </row>
    <row r="298" ht="14.25" customHeight="1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  <c r="AA298" s="106"/>
      <c r="AB298" s="106"/>
    </row>
    <row r="299" ht="14.25" customHeight="1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  <c r="AA299" s="106"/>
      <c r="AB299" s="106"/>
    </row>
    <row r="300" ht="14.25" customHeight="1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  <c r="AA300" s="106"/>
      <c r="AB300" s="106"/>
    </row>
    <row r="301" ht="14.25" customHeight="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  <c r="AA301" s="106"/>
      <c r="AB301" s="106"/>
    </row>
    <row r="302" ht="14.25" customHeight="1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  <c r="AA302" s="106"/>
      <c r="AB302" s="106"/>
    </row>
    <row r="303" ht="14.25" customHeight="1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  <c r="AA303" s="106"/>
      <c r="AB303" s="106"/>
    </row>
    <row r="304" ht="14.25" customHeight="1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  <c r="AA304" s="106"/>
      <c r="AB304" s="106"/>
    </row>
    <row r="305" ht="14.25" customHeight="1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  <c r="AA305" s="106"/>
      <c r="AB305" s="106"/>
    </row>
    <row r="306" ht="14.25" customHeight="1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  <c r="AA306" s="106"/>
      <c r="AB306" s="106"/>
    </row>
    <row r="307" ht="14.25" customHeight="1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  <c r="AA307" s="106"/>
      <c r="AB307" s="106"/>
    </row>
    <row r="308" ht="14.25" customHeight="1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  <c r="AA308" s="106"/>
      <c r="AB308" s="106"/>
    </row>
    <row r="309" ht="14.25" customHeight="1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  <c r="AA309" s="106"/>
      <c r="AB309" s="106"/>
    </row>
    <row r="310" ht="14.25" customHeight="1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  <c r="AA310" s="106"/>
      <c r="AB310" s="106"/>
    </row>
    <row r="311" ht="14.25" customHeight="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  <c r="AA311" s="106"/>
      <c r="AB311" s="106"/>
    </row>
    <row r="312" ht="14.25" customHeight="1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  <c r="AA312" s="106"/>
      <c r="AB312" s="106"/>
    </row>
    <row r="313" ht="14.25" customHeight="1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  <c r="AA313" s="106"/>
      <c r="AB313" s="106"/>
    </row>
    <row r="314" ht="14.25" customHeight="1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  <c r="AA314" s="106"/>
      <c r="AB314" s="106"/>
    </row>
    <row r="315" ht="14.25" customHeight="1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  <c r="AA315" s="106"/>
      <c r="AB315" s="106"/>
    </row>
    <row r="316" ht="14.25" customHeight="1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  <c r="AA316" s="106"/>
      <c r="AB316" s="106"/>
    </row>
    <row r="317" ht="14.25" customHeight="1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  <c r="AA317" s="106"/>
      <c r="AB317" s="106"/>
    </row>
    <row r="318" ht="14.25" customHeight="1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  <c r="AA318" s="106"/>
      <c r="AB318" s="106"/>
    </row>
    <row r="319" ht="14.25" customHeight="1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  <c r="AA319" s="106"/>
      <c r="AB319" s="106"/>
    </row>
    <row r="320" ht="14.25" customHeight="1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  <c r="AA320" s="106"/>
      <c r="AB320" s="106"/>
    </row>
    <row r="321" ht="14.25" customHeight="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  <c r="AA321" s="106"/>
      <c r="AB321" s="106"/>
    </row>
    <row r="322" ht="14.25" customHeight="1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  <c r="AA322" s="106"/>
      <c r="AB322" s="106"/>
    </row>
    <row r="323" ht="14.25" customHeight="1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  <c r="AA323" s="106"/>
      <c r="AB323" s="106"/>
    </row>
    <row r="324" ht="14.25" customHeight="1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  <c r="AA324" s="106"/>
      <c r="AB324" s="106"/>
    </row>
    <row r="325" ht="14.25" customHeight="1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  <c r="AA325" s="106"/>
      <c r="AB325" s="106"/>
    </row>
    <row r="326" ht="14.25" customHeight="1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  <c r="AA326" s="106"/>
      <c r="AB326" s="106"/>
    </row>
    <row r="327" ht="14.25" customHeight="1">
      <c r="A327" s="60"/>
      <c r="B327" s="60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  <c r="AA327" s="106"/>
      <c r="AB327" s="106"/>
    </row>
    <row r="328" ht="14.25" customHeight="1">
      <c r="A328" s="60"/>
      <c r="B328" s="60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  <c r="AA328" s="106"/>
      <c r="AB328" s="106"/>
    </row>
    <row r="329" ht="14.25" customHeight="1">
      <c r="A329" s="60"/>
      <c r="B329" s="60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  <c r="AA329" s="106"/>
      <c r="AB329" s="106"/>
    </row>
    <row r="330" ht="14.25" customHeight="1">
      <c r="A330" s="60"/>
      <c r="B330" s="60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  <c r="AA330" s="106"/>
      <c r="AB330" s="106"/>
    </row>
    <row r="331" ht="14.25" customHeight="1">
      <c r="A331" s="60"/>
      <c r="B331" s="60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  <c r="AA331" s="106"/>
      <c r="AB331" s="106"/>
    </row>
    <row r="332" ht="14.25" customHeight="1">
      <c r="A332" s="60"/>
      <c r="B332" s="60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  <c r="AA332" s="106"/>
      <c r="AB332" s="106"/>
    </row>
    <row r="333" ht="14.25" customHeight="1">
      <c r="A333" s="60"/>
      <c r="B333" s="60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  <c r="AA333" s="106"/>
      <c r="AB333" s="106"/>
    </row>
    <row r="334" ht="14.25" customHeight="1">
      <c r="A334" s="60"/>
      <c r="B334" s="60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  <c r="AA334" s="106"/>
      <c r="AB334" s="106"/>
    </row>
    <row r="335" ht="14.25" customHeight="1">
      <c r="A335" s="60"/>
      <c r="B335" s="60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  <c r="AA335" s="106"/>
      <c r="AB335" s="106"/>
    </row>
    <row r="336" ht="14.25" customHeight="1">
      <c r="A336" s="60"/>
      <c r="B336" s="60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  <c r="AA336" s="106"/>
      <c r="AB336" s="106"/>
    </row>
    <row r="337" ht="14.25" customHeight="1">
      <c r="A337" s="60"/>
      <c r="B337" s="60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  <c r="AA337" s="106"/>
      <c r="AB337" s="106"/>
    </row>
    <row r="338" ht="14.25" customHeight="1">
      <c r="A338" s="60"/>
      <c r="B338" s="60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  <c r="AA338" s="106"/>
      <c r="AB338" s="106"/>
    </row>
    <row r="339" ht="14.25" customHeight="1">
      <c r="A339" s="60"/>
      <c r="B339" s="60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</row>
    <row r="340" ht="14.25" customHeight="1">
      <c r="A340" s="60"/>
      <c r="B340" s="60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</row>
    <row r="341" ht="14.25" customHeight="1">
      <c r="A341" s="60"/>
      <c r="B341" s="60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</row>
    <row r="342" ht="14.25" customHeight="1">
      <c r="A342" s="60"/>
      <c r="B342" s="60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</row>
    <row r="343" ht="14.25" customHeight="1">
      <c r="A343" s="60"/>
      <c r="B343" s="60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</row>
    <row r="344" ht="14.25" customHeight="1">
      <c r="A344" s="60"/>
      <c r="B344" s="60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</row>
    <row r="345" ht="14.25" customHeight="1">
      <c r="A345" s="60"/>
      <c r="B345" s="60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</row>
    <row r="346" ht="14.25" customHeight="1">
      <c r="A346" s="60"/>
      <c r="B346" s="60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</row>
    <row r="347" ht="14.25" customHeight="1">
      <c r="A347" s="60"/>
      <c r="B347" s="60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</row>
    <row r="348" ht="14.25" customHeight="1">
      <c r="A348" s="60"/>
      <c r="B348" s="60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</row>
    <row r="349" ht="14.25" customHeight="1">
      <c r="A349" s="60"/>
      <c r="B349" s="60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</row>
    <row r="350" ht="14.25" customHeight="1">
      <c r="A350" s="60"/>
      <c r="B350" s="60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</row>
    <row r="351" ht="14.25" customHeight="1">
      <c r="A351" s="60"/>
      <c r="B351" s="60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</row>
    <row r="352" ht="14.25" customHeight="1">
      <c r="A352" s="60"/>
      <c r="B352" s="60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</row>
    <row r="353" ht="14.25" customHeight="1">
      <c r="A353" s="60"/>
      <c r="B353" s="60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  <c r="AA353" s="106"/>
      <c r="AB353" s="106"/>
    </row>
    <row r="354" ht="14.25" customHeight="1">
      <c r="A354" s="60"/>
      <c r="B354" s="60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  <c r="AA354" s="106"/>
      <c r="AB354" s="106"/>
    </row>
    <row r="355" ht="14.25" customHeight="1">
      <c r="A355" s="60"/>
      <c r="B355" s="60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  <c r="AA355" s="106"/>
      <c r="AB355" s="106"/>
    </row>
    <row r="356" ht="14.25" customHeight="1">
      <c r="A356" s="60"/>
      <c r="B356" s="60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</row>
    <row r="357" ht="14.25" customHeight="1">
      <c r="A357" s="60"/>
      <c r="B357" s="60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</row>
    <row r="358" ht="14.25" customHeight="1">
      <c r="A358" s="60"/>
      <c r="B358" s="60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</row>
    <row r="359" ht="14.25" customHeight="1">
      <c r="A359" s="60"/>
      <c r="B359" s="60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</row>
    <row r="360" ht="14.25" customHeight="1">
      <c r="A360" s="60"/>
      <c r="B360" s="60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</row>
    <row r="361" ht="14.25" customHeight="1">
      <c r="A361" s="60"/>
      <c r="B361" s="60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</row>
    <row r="362" ht="14.25" customHeight="1">
      <c r="A362" s="60"/>
      <c r="B362" s="60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</row>
    <row r="363" ht="14.25" customHeight="1">
      <c r="A363" s="60"/>
      <c r="B363" s="60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</row>
    <row r="364" ht="14.25" customHeight="1">
      <c r="A364" s="60"/>
      <c r="B364" s="60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</row>
    <row r="365" ht="14.25" customHeight="1">
      <c r="A365" s="60"/>
      <c r="B365" s="60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</row>
    <row r="366" ht="14.25" customHeight="1">
      <c r="A366" s="60"/>
      <c r="B366" s="60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</row>
    <row r="367" ht="14.25" customHeight="1">
      <c r="A367" s="60"/>
      <c r="B367" s="60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</row>
    <row r="368" ht="14.25" customHeight="1">
      <c r="A368" s="60"/>
      <c r="B368" s="60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</row>
    <row r="369" ht="14.25" customHeight="1">
      <c r="A369" s="60"/>
      <c r="B369" s="60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</row>
    <row r="370" ht="14.25" customHeight="1">
      <c r="A370" s="60"/>
      <c r="B370" s="60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  <c r="AA370" s="106"/>
      <c r="AB370" s="106"/>
    </row>
    <row r="371" ht="14.25" customHeight="1">
      <c r="A371" s="60"/>
      <c r="B371" s="60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  <c r="AA371" s="106"/>
      <c r="AB371" s="106"/>
    </row>
    <row r="372" ht="14.25" customHeight="1">
      <c r="A372" s="60"/>
      <c r="B372" s="60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  <c r="AA372" s="106"/>
      <c r="AB372" s="106"/>
    </row>
    <row r="373" ht="14.25" customHeight="1">
      <c r="A373" s="60"/>
      <c r="B373" s="60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</row>
    <row r="374" ht="14.25" customHeight="1">
      <c r="A374" s="60"/>
      <c r="B374" s="60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</row>
    <row r="375" ht="14.25" customHeight="1">
      <c r="A375" s="60"/>
      <c r="B375" s="60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</row>
    <row r="376" ht="14.25" customHeight="1">
      <c r="A376" s="60"/>
      <c r="B376" s="60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</row>
    <row r="377" ht="14.25" customHeight="1">
      <c r="A377" s="60"/>
      <c r="B377" s="60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</row>
    <row r="378" ht="14.25" customHeight="1">
      <c r="A378" s="60"/>
      <c r="B378" s="60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</row>
    <row r="379" ht="14.25" customHeight="1">
      <c r="A379" s="60"/>
      <c r="B379" s="60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</row>
    <row r="380" ht="14.25" customHeight="1">
      <c r="A380" s="60"/>
      <c r="B380" s="60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</row>
    <row r="381" ht="14.25" customHeight="1">
      <c r="A381" s="60"/>
      <c r="B381" s="60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</row>
    <row r="382" ht="14.25" customHeight="1">
      <c r="A382" s="60"/>
      <c r="B382" s="60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</row>
    <row r="383" ht="14.25" customHeight="1">
      <c r="A383" s="60"/>
      <c r="B383" s="60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</row>
    <row r="384" ht="14.25" customHeight="1">
      <c r="A384" s="60"/>
      <c r="B384" s="60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</row>
    <row r="385" ht="14.25" customHeight="1">
      <c r="A385" s="60"/>
      <c r="B385" s="60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</row>
    <row r="386" ht="14.25" customHeight="1">
      <c r="A386" s="60"/>
      <c r="B386" s="60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</row>
    <row r="387" ht="14.25" customHeight="1">
      <c r="A387" s="60"/>
      <c r="B387" s="60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  <c r="AA387" s="106"/>
      <c r="AB387" s="106"/>
    </row>
    <row r="388" ht="14.25" customHeight="1">
      <c r="A388" s="60"/>
      <c r="B388" s="60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  <c r="AA388" s="106"/>
      <c r="AB388" s="106"/>
    </row>
    <row r="389" ht="14.25" customHeight="1">
      <c r="A389" s="60"/>
      <c r="B389" s="60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  <c r="AA389" s="106"/>
      <c r="AB389" s="106"/>
    </row>
    <row r="390" ht="14.25" customHeight="1">
      <c r="A390" s="60"/>
      <c r="B390" s="60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  <c r="AA390" s="106"/>
      <c r="AB390" s="106"/>
    </row>
    <row r="391" ht="14.25" customHeight="1">
      <c r="A391" s="60"/>
      <c r="B391" s="60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  <c r="AA391" s="106"/>
      <c r="AB391" s="106"/>
    </row>
    <row r="392" ht="14.25" customHeight="1">
      <c r="A392" s="60"/>
      <c r="B392" s="60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  <c r="AA392" s="106"/>
      <c r="AB392" s="106"/>
    </row>
    <row r="393" ht="14.25" customHeight="1">
      <c r="A393" s="60"/>
      <c r="B393" s="60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  <c r="AA393" s="106"/>
      <c r="AB393" s="106"/>
    </row>
    <row r="394" ht="14.25" customHeight="1">
      <c r="A394" s="60"/>
      <c r="B394" s="60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  <c r="AA394" s="106"/>
      <c r="AB394" s="106"/>
    </row>
    <row r="395" ht="14.25" customHeight="1">
      <c r="A395" s="60"/>
      <c r="B395" s="60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  <c r="AA395" s="106"/>
      <c r="AB395" s="106"/>
    </row>
    <row r="396" ht="14.25" customHeight="1">
      <c r="A396" s="60"/>
      <c r="B396" s="60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  <c r="AA396" s="106"/>
      <c r="AB396" s="106"/>
    </row>
    <row r="397" ht="14.25" customHeight="1">
      <c r="A397" s="60"/>
      <c r="B397" s="60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  <c r="AA397" s="106"/>
      <c r="AB397" s="106"/>
    </row>
    <row r="398" ht="14.25" customHeight="1">
      <c r="A398" s="60"/>
      <c r="B398" s="60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  <c r="AA398" s="106"/>
      <c r="AB398" s="106"/>
    </row>
    <row r="399" ht="14.25" customHeight="1">
      <c r="A399" s="60"/>
      <c r="B399" s="60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  <c r="AA399" s="106"/>
      <c r="AB399" s="106"/>
    </row>
    <row r="400" ht="14.25" customHeight="1">
      <c r="A400" s="60"/>
      <c r="B400" s="60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  <c r="AA400" s="106"/>
      <c r="AB400" s="106"/>
    </row>
    <row r="401" ht="14.25" customHeight="1">
      <c r="A401" s="60"/>
      <c r="B401" s="60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  <c r="AA401" s="106"/>
      <c r="AB401" s="106"/>
    </row>
    <row r="402" ht="14.25" customHeight="1">
      <c r="A402" s="60"/>
      <c r="B402" s="60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  <c r="AA402" s="106"/>
      <c r="AB402" s="106"/>
    </row>
    <row r="403" ht="14.25" customHeight="1">
      <c r="A403" s="60"/>
      <c r="B403" s="60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  <c r="AA403" s="106"/>
      <c r="AB403" s="106"/>
    </row>
    <row r="404" ht="14.25" customHeight="1">
      <c r="A404" s="60"/>
      <c r="B404" s="60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  <c r="AA404" s="106"/>
      <c r="AB404" s="106"/>
    </row>
    <row r="405" ht="14.25" customHeight="1">
      <c r="A405" s="60"/>
      <c r="B405" s="60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  <c r="AA405" s="106"/>
      <c r="AB405" s="106"/>
    </row>
    <row r="406" ht="14.25" customHeight="1">
      <c r="A406" s="60"/>
      <c r="B406" s="60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  <c r="AA406" s="106"/>
      <c r="AB406" s="106"/>
    </row>
    <row r="407" ht="14.25" customHeight="1">
      <c r="A407" s="60"/>
      <c r="B407" s="60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  <c r="AA407" s="106"/>
      <c r="AB407" s="106"/>
    </row>
    <row r="408" ht="14.25" customHeight="1">
      <c r="A408" s="60"/>
      <c r="B408" s="60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  <c r="AA408" s="106"/>
      <c r="AB408" s="106"/>
    </row>
    <row r="409" ht="14.25" customHeight="1">
      <c r="A409" s="60"/>
      <c r="B409" s="60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  <c r="AA409" s="106"/>
      <c r="AB409" s="106"/>
    </row>
    <row r="410" ht="14.25" customHeight="1">
      <c r="A410" s="60"/>
      <c r="B410" s="60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  <c r="AA410" s="106"/>
      <c r="AB410" s="106"/>
    </row>
    <row r="411" ht="14.25" customHeight="1">
      <c r="A411" s="60"/>
      <c r="B411" s="60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  <c r="AA411" s="106"/>
      <c r="AB411" s="106"/>
    </row>
    <row r="412" ht="14.25" customHeight="1">
      <c r="A412" s="60"/>
      <c r="B412" s="60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  <c r="AA412" s="106"/>
      <c r="AB412" s="106"/>
    </row>
    <row r="413" ht="14.25" customHeight="1">
      <c r="A413" s="60"/>
      <c r="B413" s="60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  <c r="AA413" s="106"/>
      <c r="AB413" s="106"/>
    </row>
    <row r="414" ht="14.25" customHeight="1">
      <c r="A414" s="60"/>
      <c r="B414" s="60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  <c r="AA414" s="106"/>
      <c r="AB414" s="106"/>
    </row>
    <row r="415" ht="14.25" customHeight="1">
      <c r="A415" s="60"/>
      <c r="B415" s="60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  <c r="AA415" s="106"/>
      <c r="AB415" s="106"/>
    </row>
    <row r="416" ht="14.25" customHeight="1">
      <c r="A416" s="60"/>
      <c r="B416" s="60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  <c r="AA416" s="106"/>
      <c r="AB416" s="106"/>
    </row>
    <row r="417" ht="14.25" customHeight="1">
      <c r="A417" s="60"/>
      <c r="B417" s="60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  <c r="AA417" s="106"/>
      <c r="AB417" s="106"/>
    </row>
    <row r="418" ht="14.25" customHeight="1">
      <c r="A418" s="60"/>
      <c r="B418" s="60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  <c r="AA418" s="106"/>
      <c r="AB418" s="106"/>
    </row>
    <row r="419" ht="14.25" customHeight="1">
      <c r="A419" s="60"/>
      <c r="B419" s="60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  <c r="AA419" s="106"/>
      <c r="AB419" s="106"/>
    </row>
    <row r="420" ht="14.25" customHeight="1">
      <c r="A420" s="60"/>
      <c r="B420" s="60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  <c r="AA420" s="106"/>
      <c r="AB420" s="106"/>
    </row>
    <row r="421" ht="14.25" customHeight="1">
      <c r="A421" s="60"/>
      <c r="B421" s="60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  <c r="AA421" s="106"/>
      <c r="AB421" s="106"/>
    </row>
    <row r="422" ht="14.25" customHeight="1">
      <c r="A422" s="60"/>
      <c r="B422" s="60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  <c r="AA422" s="106"/>
      <c r="AB422" s="106"/>
    </row>
    <row r="423" ht="14.25" customHeight="1">
      <c r="A423" s="60"/>
      <c r="B423" s="60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  <c r="AA423" s="106"/>
      <c r="AB423" s="106"/>
    </row>
    <row r="424" ht="14.25" customHeight="1">
      <c r="A424" s="60"/>
      <c r="B424" s="60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</row>
    <row r="425" ht="14.25" customHeight="1">
      <c r="A425" s="60"/>
      <c r="B425" s="60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</row>
    <row r="426" ht="14.25" customHeight="1">
      <c r="A426" s="60"/>
      <c r="B426" s="60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</row>
    <row r="427" ht="14.25" customHeight="1">
      <c r="A427" s="60"/>
      <c r="B427" s="60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</row>
    <row r="428" ht="14.25" customHeight="1">
      <c r="A428" s="60"/>
      <c r="B428" s="60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</row>
    <row r="429" ht="14.25" customHeight="1">
      <c r="A429" s="60"/>
      <c r="B429" s="60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</row>
    <row r="430" ht="14.25" customHeight="1">
      <c r="A430" s="60"/>
      <c r="B430" s="60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</row>
    <row r="431" ht="14.25" customHeight="1">
      <c r="A431" s="60"/>
      <c r="B431" s="60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</row>
    <row r="432" ht="14.25" customHeight="1">
      <c r="A432" s="60"/>
      <c r="B432" s="60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</row>
    <row r="433" ht="14.25" customHeight="1">
      <c r="A433" s="60"/>
      <c r="B433" s="60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</row>
    <row r="434" ht="14.25" customHeight="1">
      <c r="A434" s="60"/>
      <c r="B434" s="60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</row>
    <row r="435" ht="14.25" customHeight="1">
      <c r="A435" s="60"/>
      <c r="B435" s="60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</row>
    <row r="436" ht="14.25" customHeight="1">
      <c r="A436" s="60"/>
      <c r="B436" s="60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</row>
    <row r="437" ht="14.25" customHeight="1">
      <c r="A437" s="60"/>
      <c r="B437" s="60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</row>
    <row r="438" ht="14.25" customHeight="1">
      <c r="A438" s="60"/>
      <c r="B438" s="60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  <c r="AA438" s="106"/>
      <c r="AB438" s="106"/>
    </row>
    <row r="439" ht="14.25" customHeight="1">
      <c r="A439" s="60"/>
      <c r="B439" s="60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  <c r="AA439" s="106"/>
      <c r="AB439" s="106"/>
    </row>
    <row r="440" ht="14.25" customHeight="1">
      <c r="A440" s="60"/>
      <c r="B440" s="60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  <c r="AA440" s="106"/>
      <c r="AB440" s="106"/>
    </row>
    <row r="441" ht="14.25" customHeight="1">
      <c r="A441" s="60"/>
      <c r="B441" s="60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  <c r="AA441" s="106"/>
      <c r="AB441" s="106"/>
    </row>
    <row r="442" ht="14.25" customHeight="1">
      <c r="A442" s="60"/>
      <c r="B442" s="60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  <c r="AA442" s="106"/>
      <c r="AB442" s="106"/>
    </row>
    <row r="443" ht="14.25" customHeight="1">
      <c r="A443" s="60"/>
      <c r="B443" s="60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  <c r="AA443" s="106"/>
      <c r="AB443" s="106"/>
    </row>
    <row r="444" ht="14.25" customHeight="1">
      <c r="A444" s="60"/>
      <c r="B444" s="60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  <c r="AA444" s="106"/>
      <c r="AB444" s="106"/>
    </row>
    <row r="445" ht="14.25" customHeight="1">
      <c r="A445" s="60"/>
      <c r="B445" s="60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  <c r="AA445" s="106"/>
      <c r="AB445" s="106"/>
    </row>
    <row r="446" ht="14.25" customHeight="1">
      <c r="A446" s="60"/>
      <c r="B446" s="60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  <c r="AA446" s="106"/>
      <c r="AB446" s="106"/>
    </row>
    <row r="447" ht="14.25" customHeight="1">
      <c r="A447" s="60"/>
      <c r="B447" s="60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  <c r="AA447" s="106"/>
      <c r="AB447" s="106"/>
    </row>
    <row r="448" ht="14.25" customHeight="1">
      <c r="A448" s="60"/>
      <c r="B448" s="60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  <c r="AA448" s="106"/>
      <c r="AB448" s="106"/>
    </row>
    <row r="449" ht="14.25" customHeight="1">
      <c r="A449" s="60"/>
      <c r="B449" s="60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  <c r="AA449" s="106"/>
      <c r="AB449" s="106"/>
    </row>
    <row r="450" ht="14.25" customHeight="1">
      <c r="A450" s="60"/>
      <c r="B450" s="60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  <c r="AA450" s="106"/>
      <c r="AB450" s="106"/>
    </row>
    <row r="451" ht="14.25" customHeight="1">
      <c r="A451" s="60"/>
      <c r="B451" s="60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  <c r="AA451" s="106"/>
      <c r="AB451" s="106"/>
    </row>
    <row r="452" ht="14.25" customHeight="1">
      <c r="A452" s="60"/>
      <c r="B452" s="60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  <c r="AA452" s="106"/>
      <c r="AB452" s="106"/>
    </row>
    <row r="453" ht="14.25" customHeight="1">
      <c r="A453" s="60"/>
      <c r="B453" s="60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  <c r="AA453" s="106"/>
      <c r="AB453" s="106"/>
    </row>
    <row r="454" ht="14.25" customHeight="1">
      <c r="A454" s="60"/>
      <c r="B454" s="60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  <c r="AA454" s="106"/>
      <c r="AB454" s="106"/>
    </row>
    <row r="455" ht="14.25" customHeight="1">
      <c r="A455" s="60"/>
      <c r="B455" s="60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  <c r="AA455" s="106"/>
      <c r="AB455" s="106"/>
    </row>
    <row r="456" ht="14.25" customHeight="1">
      <c r="A456" s="60"/>
      <c r="B456" s="60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  <c r="AA456" s="106"/>
      <c r="AB456" s="106"/>
    </row>
    <row r="457" ht="14.25" customHeight="1">
      <c r="A457" s="60"/>
      <c r="B457" s="60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  <c r="AA457" s="106"/>
      <c r="AB457" s="106"/>
    </row>
    <row r="458" ht="14.25" customHeight="1">
      <c r="A458" s="60"/>
      <c r="B458" s="60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  <c r="AA458" s="106"/>
      <c r="AB458" s="106"/>
    </row>
    <row r="459" ht="14.25" customHeight="1">
      <c r="A459" s="60"/>
      <c r="B459" s="60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  <c r="AA459" s="106"/>
      <c r="AB459" s="106"/>
    </row>
    <row r="460" ht="14.25" customHeight="1">
      <c r="A460" s="60"/>
      <c r="B460" s="60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  <c r="AA460" s="106"/>
      <c r="AB460" s="106"/>
    </row>
    <row r="461" ht="14.25" customHeight="1">
      <c r="A461" s="60"/>
      <c r="B461" s="60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  <c r="AA461" s="106"/>
      <c r="AB461" s="106"/>
    </row>
    <row r="462" ht="14.25" customHeight="1">
      <c r="A462" s="60"/>
      <c r="B462" s="60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  <c r="AA462" s="106"/>
      <c r="AB462" s="106"/>
    </row>
    <row r="463" ht="14.25" customHeight="1">
      <c r="A463" s="60"/>
      <c r="B463" s="60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  <c r="AA463" s="106"/>
      <c r="AB463" s="106"/>
    </row>
    <row r="464" ht="14.25" customHeight="1">
      <c r="A464" s="60"/>
      <c r="B464" s="60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  <c r="AA464" s="106"/>
      <c r="AB464" s="106"/>
    </row>
    <row r="465" ht="14.25" customHeight="1">
      <c r="A465" s="60"/>
      <c r="B465" s="60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  <c r="AA465" s="106"/>
      <c r="AB465" s="106"/>
    </row>
    <row r="466" ht="14.25" customHeight="1">
      <c r="A466" s="60"/>
      <c r="B466" s="60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  <c r="AA466" s="106"/>
      <c r="AB466" s="106"/>
    </row>
    <row r="467" ht="14.25" customHeight="1">
      <c r="A467" s="60"/>
      <c r="B467" s="60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  <c r="AA467" s="106"/>
      <c r="AB467" s="106"/>
    </row>
    <row r="468" ht="14.25" customHeight="1">
      <c r="A468" s="60"/>
      <c r="B468" s="60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  <c r="AA468" s="106"/>
      <c r="AB468" s="106"/>
    </row>
    <row r="469" ht="14.25" customHeight="1">
      <c r="A469" s="60"/>
      <c r="B469" s="60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  <c r="AA469" s="106"/>
      <c r="AB469" s="106"/>
    </row>
    <row r="470" ht="14.25" customHeight="1">
      <c r="A470" s="60"/>
      <c r="B470" s="60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  <c r="AA470" s="106"/>
      <c r="AB470" s="106"/>
    </row>
    <row r="471" ht="14.25" customHeight="1">
      <c r="A471" s="60"/>
      <c r="B471" s="60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  <c r="AA471" s="106"/>
      <c r="AB471" s="106"/>
    </row>
    <row r="472" ht="14.25" customHeight="1">
      <c r="A472" s="60"/>
      <c r="B472" s="60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  <c r="AA472" s="106"/>
      <c r="AB472" s="106"/>
    </row>
    <row r="473" ht="14.25" customHeight="1">
      <c r="A473" s="60"/>
      <c r="B473" s="60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  <c r="AA473" s="106"/>
      <c r="AB473" s="106"/>
    </row>
    <row r="474" ht="14.25" customHeight="1">
      <c r="A474" s="60"/>
      <c r="B474" s="60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  <c r="AA474" s="106"/>
      <c r="AB474" s="106"/>
    </row>
    <row r="475" ht="14.25" customHeight="1">
      <c r="A475" s="60"/>
      <c r="B475" s="60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  <c r="AA475" s="106"/>
      <c r="AB475" s="106"/>
    </row>
    <row r="476" ht="14.25" customHeight="1">
      <c r="A476" s="60"/>
      <c r="B476" s="60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  <c r="AA476" s="106"/>
      <c r="AB476" s="106"/>
    </row>
    <row r="477" ht="14.25" customHeight="1">
      <c r="A477" s="60"/>
      <c r="B477" s="60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  <c r="AA477" s="106"/>
      <c r="AB477" s="106"/>
    </row>
    <row r="478" ht="14.25" customHeight="1">
      <c r="A478" s="60"/>
      <c r="B478" s="60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  <c r="AA478" s="106"/>
      <c r="AB478" s="106"/>
    </row>
    <row r="479" ht="14.25" customHeight="1">
      <c r="A479" s="60"/>
      <c r="B479" s="60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  <c r="AA479" s="106"/>
      <c r="AB479" s="106"/>
    </row>
    <row r="480" ht="14.25" customHeight="1">
      <c r="A480" s="60"/>
      <c r="B480" s="60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  <c r="AA480" s="106"/>
      <c r="AB480" s="106"/>
    </row>
    <row r="481" ht="14.25" customHeight="1">
      <c r="A481" s="60"/>
      <c r="B481" s="60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  <c r="AA481" s="106"/>
      <c r="AB481" s="106"/>
    </row>
    <row r="482" ht="14.25" customHeight="1">
      <c r="A482" s="60"/>
      <c r="B482" s="60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  <c r="AA482" s="106"/>
      <c r="AB482" s="106"/>
    </row>
    <row r="483" ht="14.25" customHeight="1">
      <c r="A483" s="60"/>
      <c r="B483" s="60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  <c r="AA483" s="106"/>
      <c r="AB483" s="106"/>
    </row>
    <row r="484" ht="14.25" customHeight="1">
      <c r="A484" s="60"/>
      <c r="B484" s="60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  <c r="AA484" s="106"/>
      <c r="AB484" s="106"/>
    </row>
    <row r="485" ht="14.25" customHeight="1">
      <c r="A485" s="60"/>
      <c r="B485" s="60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  <c r="AA485" s="106"/>
      <c r="AB485" s="106"/>
    </row>
    <row r="486" ht="14.25" customHeight="1">
      <c r="A486" s="60"/>
      <c r="B486" s="60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  <c r="AA486" s="106"/>
      <c r="AB486" s="106"/>
    </row>
    <row r="487" ht="14.25" customHeight="1">
      <c r="A487" s="60"/>
      <c r="B487" s="60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  <c r="AA487" s="106"/>
      <c r="AB487" s="106"/>
    </row>
    <row r="488" ht="14.25" customHeight="1">
      <c r="A488" s="60"/>
      <c r="B488" s="60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  <c r="AA488" s="106"/>
      <c r="AB488" s="106"/>
    </row>
    <row r="489" ht="14.25" customHeight="1">
      <c r="A489" s="60"/>
      <c r="B489" s="60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  <c r="AA489" s="106"/>
      <c r="AB489" s="106"/>
    </row>
    <row r="490" ht="14.25" customHeight="1">
      <c r="A490" s="60"/>
      <c r="B490" s="60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  <c r="AA490" s="106"/>
      <c r="AB490" s="106"/>
    </row>
    <row r="491" ht="14.25" customHeight="1">
      <c r="A491" s="60"/>
      <c r="B491" s="60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  <c r="AA491" s="106"/>
      <c r="AB491" s="106"/>
    </row>
    <row r="492" ht="14.25" customHeight="1">
      <c r="A492" s="60"/>
      <c r="B492" s="60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  <c r="AA492" s="106"/>
      <c r="AB492" s="106"/>
    </row>
    <row r="493" ht="14.25" customHeight="1">
      <c r="A493" s="60"/>
      <c r="B493" s="60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  <c r="AA493" s="106"/>
      <c r="AB493" s="106"/>
    </row>
    <row r="494" ht="14.25" customHeight="1">
      <c r="A494" s="60"/>
      <c r="B494" s="60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  <c r="AA494" s="106"/>
      <c r="AB494" s="106"/>
    </row>
    <row r="495" ht="14.25" customHeight="1">
      <c r="A495" s="60"/>
      <c r="B495" s="60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  <c r="AA495" s="106"/>
      <c r="AB495" s="106"/>
    </row>
    <row r="496" ht="14.25" customHeight="1">
      <c r="A496" s="60"/>
      <c r="B496" s="60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  <c r="AA496" s="106"/>
      <c r="AB496" s="106"/>
    </row>
    <row r="497" ht="14.25" customHeight="1">
      <c r="A497" s="60"/>
      <c r="B497" s="60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  <c r="AA497" s="106"/>
      <c r="AB497" s="106"/>
    </row>
    <row r="498" ht="14.25" customHeight="1">
      <c r="A498" s="60"/>
      <c r="B498" s="60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  <c r="AA498" s="106"/>
      <c r="AB498" s="106"/>
    </row>
    <row r="499" ht="14.25" customHeight="1">
      <c r="A499" s="60"/>
      <c r="B499" s="60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  <c r="AA499" s="106"/>
      <c r="AB499" s="106"/>
    </row>
    <row r="500" ht="14.25" customHeight="1">
      <c r="A500" s="60"/>
      <c r="B500" s="60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  <c r="AA500" s="106"/>
      <c r="AB500" s="106"/>
    </row>
    <row r="501" ht="14.25" customHeight="1">
      <c r="A501" s="60"/>
      <c r="B501" s="60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  <c r="AA501" s="106"/>
      <c r="AB501" s="106"/>
    </row>
    <row r="502" ht="14.25" customHeight="1">
      <c r="A502" s="60"/>
      <c r="B502" s="60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  <c r="AA502" s="106"/>
      <c r="AB502" s="106"/>
    </row>
    <row r="503" ht="14.25" customHeight="1">
      <c r="A503" s="60"/>
      <c r="B503" s="60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  <c r="AA503" s="106"/>
      <c r="AB503" s="106"/>
    </row>
    <row r="504" ht="14.25" customHeight="1">
      <c r="A504" s="60"/>
      <c r="B504" s="60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  <c r="AA504" s="106"/>
      <c r="AB504" s="106"/>
    </row>
    <row r="505" ht="14.25" customHeight="1">
      <c r="A505" s="60"/>
      <c r="B505" s="60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  <c r="AA505" s="106"/>
      <c r="AB505" s="106"/>
    </row>
    <row r="506" ht="14.25" customHeight="1">
      <c r="A506" s="60"/>
      <c r="B506" s="60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  <c r="AA506" s="106"/>
      <c r="AB506" s="106"/>
    </row>
    <row r="507" ht="14.25" customHeight="1">
      <c r="A507" s="60"/>
      <c r="B507" s="60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  <c r="AA507" s="106"/>
      <c r="AB507" s="106"/>
    </row>
    <row r="508" ht="14.25" customHeight="1">
      <c r="A508" s="60"/>
      <c r="B508" s="60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  <c r="AA508" s="106"/>
      <c r="AB508" s="106"/>
    </row>
    <row r="509" ht="14.25" customHeight="1">
      <c r="A509" s="60"/>
      <c r="B509" s="60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  <c r="AA509" s="106"/>
      <c r="AB509" s="106"/>
    </row>
    <row r="510" ht="14.25" customHeight="1">
      <c r="A510" s="60"/>
      <c r="B510" s="60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  <c r="AA510" s="106"/>
      <c r="AB510" s="106"/>
    </row>
    <row r="511" ht="14.25" customHeight="1">
      <c r="A511" s="60"/>
      <c r="B511" s="60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  <c r="AA511" s="106"/>
      <c r="AB511" s="106"/>
    </row>
    <row r="512" ht="14.25" customHeight="1">
      <c r="A512" s="60"/>
      <c r="B512" s="60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  <c r="AA512" s="106"/>
      <c r="AB512" s="106"/>
    </row>
    <row r="513" ht="14.25" customHeight="1">
      <c r="A513" s="60"/>
      <c r="B513" s="60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  <c r="AA513" s="106"/>
      <c r="AB513" s="106"/>
    </row>
    <row r="514" ht="14.25" customHeight="1">
      <c r="A514" s="60"/>
      <c r="B514" s="60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  <c r="AA514" s="106"/>
      <c r="AB514" s="106"/>
    </row>
    <row r="515" ht="14.25" customHeight="1">
      <c r="A515" s="60"/>
      <c r="B515" s="60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  <c r="AA515" s="106"/>
      <c r="AB515" s="106"/>
    </row>
    <row r="516" ht="14.25" customHeight="1">
      <c r="A516" s="60"/>
      <c r="B516" s="60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  <c r="AA516" s="106"/>
      <c r="AB516" s="106"/>
    </row>
    <row r="517" ht="14.25" customHeight="1">
      <c r="A517" s="60"/>
      <c r="B517" s="60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  <c r="AA517" s="106"/>
      <c r="AB517" s="106"/>
    </row>
    <row r="518" ht="14.25" customHeight="1">
      <c r="A518" s="60"/>
      <c r="B518" s="60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  <c r="AA518" s="106"/>
      <c r="AB518" s="106"/>
    </row>
    <row r="519" ht="14.25" customHeight="1">
      <c r="A519" s="60"/>
      <c r="B519" s="60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  <c r="AA519" s="106"/>
      <c r="AB519" s="106"/>
    </row>
    <row r="520" ht="14.25" customHeight="1">
      <c r="A520" s="60"/>
      <c r="B520" s="60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  <c r="AA520" s="106"/>
      <c r="AB520" s="106"/>
    </row>
    <row r="521" ht="14.25" customHeight="1">
      <c r="A521" s="60"/>
      <c r="B521" s="60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  <c r="AA521" s="106"/>
      <c r="AB521" s="106"/>
    </row>
    <row r="522" ht="14.25" customHeight="1">
      <c r="A522" s="60"/>
      <c r="B522" s="60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  <c r="AA522" s="106"/>
      <c r="AB522" s="106"/>
    </row>
    <row r="523" ht="14.25" customHeight="1">
      <c r="A523" s="60"/>
      <c r="B523" s="60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  <c r="AA523" s="106"/>
      <c r="AB523" s="106"/>
    </row>
    <row r="524" ht="14.25" customHeight="1">
      <c r="A524" s="60"/>
      <c r="B524" s="60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  <c r="AA524" s="106"/>
      <c r="AB524" s="106"/>
    </row>
    <row r="525" ht="14.25" customHeight="1">
      <c r="A525" s="60"/>
      <c r="B525" s="60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  <c r="AA525" s="106"/>
      <c r="AB525" s="106"/>
    </row>
    <row r="526" ht="14.25" customHeight="1">
      <c r="A526" s="60"/>
      <c r="B526" s="60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  <c r="AA526" s="106"/>
      <c r="AB526" s="106"/>
    </row>
    <row r="527" ht="14.25" customHeight="1">
      <c r="A527" s="60"/>
      <c r="B527" s="60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  <c r="AA527" s="106"/>
      <c r="AB527" s="106"/>
    </row>
    <row r="528" ht="14.25" customHeight="1">
      <c r="A528" s="60"/>
      <c r="B528" s="60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  <c r="AA528" s="106"/>
      <c r="AB528" s="106"/>
    </row>
    <row r="529" ht="14.25" customHeight="1">
      <c r="A529" s="60"/>
      <c r="B529" s="60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  <c r="AA529" s="106"/>
      <c r="AB529" s="106"/>
    </row>
    <row r="530" ht="14.25" customHeight="1">
      <c r="A530" s="60"/>
      <c r="B530" s="60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  <c r="AA530" s="106"/>
      <c r="AB530" s="106"/>
    </row>
    <row r="531" ht="14.25" customHeight="1">
      <c r="A531" s="60"/>
      <c r="B531" s="60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  <c r="AA531" s="106"/>
      <c r="AB531" s="106"/>
    </row>
    <row r="532" ht="14.25" customHeight="1">
      <c r="A532" s="60"/>
      <c r="B532" s="60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  <c r="AA532" s="106"/>
      <c r="AB532" s="106"/>
    </row>
    <row r="533" ht="14.25" customHeight="1">
      <c r="A533" s="60"/>
      <c r="B533" s="60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  <c r="AA533" s="106"/>
      <c r="AB533" s="106"/>
    </row>
    <row r="534" ht="14.25" customHeight="1">
      <c r="A534" s="60"/>
      <c r="B534" s="60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  <c r="AA534" s="106"/>
      <c r="AB534" s="106"/>
    </row>
    <row r="535" ht="14.25" customHeight="1">
      <c r="A535" s="60"/>
      <c r="B535" s="60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  <c r="AA535" s="106"/>
      <c r="AB535" s="106"/>
    </row>
    <row r="536" ht="14.25" customHeight="1">
      <c r="A536" s="60"/>
      <c r="B536" s="60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  <c r="AA536" s="106"/>
      <c r="AB536" s="106"/>
    </row>
    <row r="537" ht="14.25" customHeight="1">
      <c r="A537" s="60"/>
      <c r="B537" s="60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  <c r="AA537" s="106"/>
      <c r="AB537" s="106"/>
    </row>
    <row r="538" ht="14.25" customHeight="1">
      <c r="A538" s="60"/>
      <c r="B538" s="60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  <c r="AA538" s="106"/>
      <c r="AB538" s="106"/>
    </row>
    <row r="539" ht="14.25" customHeight="1">
      <c r="A539" s="60"/>
      <c r="B539" s="60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  <c r="AA539" s="106"/>
      <c r="AB539" s="106"/>
    </row>
    <row r="540" ht="14.25" customHeight="1">
      <c r="A540" s="60"/>
      <c r="B540" s="60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  <c r="AA540" s="106"/>
      <c r="AB540" s="106"/>
    </row>
    <row r="541" ht="14.25" customHeight="1">
      <c r="A541" s="60"/>
      <c r="B541" s="60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  <c r="AA541" s="106"/>
      <c r="AB541" s="106"/>
    </row>
    <row r="542" ht="14.25" customHeight="1">
      <c r="A542" s="60"/>
      <c r="B542" s="60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  <c r="AA542" s="106"/>
      <c r="AB542" s="106"/>
    </row>
    <row r="543" ht="14.25" customHeight="1">
      <c r="A543" s="60"/>
      <c r="B543" s="60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  <c r="AA543" s="106"/>
      <c r="AB543" s="106"/>
    </row>
    <row r="544" ht="14.25" customHeight="1">
      <c r="A544" s="60"/>
      <c r="B544" s="60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  <c r="AA544" s="106"/>
      <c r="AB544" s="106"/>
    </row>
    <row r="545" ht="14.25" customHeight="1">
      <c r="A545" s="60"/>
      <c r="B545" s="60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  <c r="AA545" s="106"/>
      <c r="AB545" s="106"/>
    </row>
    <row r="546" ht="14.25" customHeight="1">
      <c r="A546" s="60"/>
      <c r="B546" s="60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  <c r="AA546" s="106"/>
      <c r="AB546" s="106"/>
    </row>
    <row r="547" ht="14.25" customHeight="1">
      <c r="A547" s="60"/>
      <c r="B547" s="60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  <c r="AA547" s="106"/>
      <c r="AB547" s="106"/>
    </row>
    <row r="548" ht="14.25" customHeight="1">
      <c r="A548" s="60"/>
      <c r="B548" s="60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  <c r="AA548" s="106"/>
      <c r="AB548" s="106"/>
    </row>
    <row r="549" ht="14.25" customHeight="1">
      <c r="A549" s="60"/>
      <c r="B549" s="60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  <c r="AA549" s="106"/>
      <c r="AB549" s="106"/>
    </row>
    <row r="550" ht="14.25" customHeight="1">
      <c r="A550" s="60"/>
      <c r="B550" s="60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  <c r="AA550" s="106"/>
      <c r="AB550" s="106"/>
    </row>
    <row r="551" ht="14.25" customHeight="1">
      <c r="A551" s="60"/>
      <c r="B551" s="60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  <c r="AA551" s="106"/>
      <c r="AB551" s="106"/>
    </row>
    <row r="552" ht="14.25" customHeight="1">
      <c r="A552" s="60"/>
      <c r="B552" s="60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  <c r="AA552" s="106"/>
      <c r="AB552" s="106"/>
    </row>
    <row r="553" ht="14.25" customHeight="1">
      <c r="A553" s="60"/>
      <c r="B553" s="60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  <c r="AA553" s="106"/>
      <c r="AB553" s="106"/>
    </row>
    <row r="554" ht="14.25" customHeight="1">
      <c r="A554" s="60"/>
      <c r="B554" s="60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  <c r="AA554" s="106"/>
      <c r="AB554" s="106"/>
    </row>
    <row r="555" ht="14.25" customHeight="1">
      <c r="A555" s="60"/>
      <c r="B555" s="60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  <c r="AA555" s="106"/>
      <c r="AB555" s="106"/>
    </row>
    <row r="556" ht="14.25" customHeight="1">
      <c r="A556" s="60"/>
      <c r="B556" s="60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  <c r="AA556" s="106"/>
      <c r="AB556" s="106"/>
    </row>
    <row r="557" ht="14.25" customHeight="1">
      <c r="A557" s="60"/>
      <c r="B557" s="60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  <c r="AA557" s="106"/>
      <c r="AB557" s="106"/>
    </row>
    <row r="558" ht="14.25" customHeight="1">
      <c r="A558" s="60"/>
      <c r="B558" s="60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  <c r="AA558" s="106"/>
      <c r="AB558" s="106"/>
    </row>
    <row r="559" ht="14.25" customHeight="1">
      <c r="A559" s="60"/>
      <c r="B559" s="60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  <c r="AA559" s="106"/>
      <c r="AB559" s="106"/>
    </row>
    <row r="560" ht="14.25" customHeight="1">
      <c r="A560" s="60"/>
      <c r="B560" s="60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  <c r="AA560" s="106"/>
      <c r="AB560" s="106"/>
    </row>
    <row r="561" ht="14.25" customHeight="1">
      <c r="A561" s="60"/>
      <c r="B561" s="60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  <c r="AA561" s="106"/>
      <c r="AB561" s="106"/>
    </row>
    <row r="562" ht="14.25" customHeight="1">
      <c r="A562" s="60"/>
      <c r="B562" s="60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  <c r="AA562" s="106"/>
      <c r="AB562" s="106"/>
    </row>
    <row r="563" ht="14.25" customHeight="1">
      <c r="A563" s="60"/>
      <c r="B563" s="60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  <c r="AA563" s="106"/>
      <c r="AB563" s="106"/>
    </row>
    <row r="564" ht="14.25" customHeight="1">
      <c r="A564" s="60"/>
      <c r="B564" s="60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  <c r="AA564" s="106"/>
      <c r="AB564" s="106"/>
    </row>
    <row r="565" ht="14.25" customHeight="1">
      <c r="A565" s="60"/>
      <c r="B565" s="60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  <c r="AA565" s="106"/>
      <c r="AB565" s="106"/>
    </row>
    <row r="566" ht="14.25" customHeight="1">
      <c r="A566" s="60"/>
      <c r="B566" s="60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  <c r="AA566" s="106"/>
      <c r="AB566" s="106"/>
    </row>
    <row r="567" ht="14.25" customHeight="1">
      <c r="A567" s="60"/>
      <c r="B567" s="60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  <c r="AA567" s="106"/>
      <c r="AB567" s="106"/>
    </row>
    <row r="568" ht="14.25" customHeight="1">
      <c r="A568" s="60"/>
      <c r="B568" s="60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  <c r="AA568" s="106"/>
      <c r="AB568" s="106"/>
    </row>
    <row r="569" ht="14.25" customHeight="1">
      <c r="A569" s="60"/>
      <c r="B569" s="60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  <c r="AA569" s="106"/>
      <c r="AB569" s="106"/>
    </row>
    <row r="570" ht="14.25" customHeight="1">
      <c r="A570" s="60"/>
      <c r="B570" s="60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  <c r="AA570" s="106"/>
      <c r="AB570" s="106"/>
    </row>
    <row r="571" ht="14.25" customHeight="1">
      <c r="A571" s="60"/>
      <c r="B571" s="60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  <c r="AA571" s="106"/>
      <c r="AB571" s="106"/>
    </row>
    <row r="572" ht="14.25" customHeight="1">
      <c r="A572" s="60"/>
      <c r="B572" s="60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  <c r="AA572" s="106"/>
      <c r="AB572" s="106"/>
    </row>
    <row r="573" ht="14.25" customHeight="1">
      <c r="A573" s="60"/>
      <c r="B573" s="60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  <c r="AA573" s="106"/>
      <c r="AB573" s="106"/>
    </row>
    <row r="574" ht="14.25" customHeight="1">
      <c r="A574" s="60"/>
      <c r="B574" s="60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  <c r="AA574" s="106"/>
      <c r="AB574" s="106"/>
    </row>
    <row r="575" ht="14.25" customHeight="1">
      <c r="A575" s="60"/>
      <c r="B575" s="60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  <c r="AA575" s="106"/>
      <c r="AB575" s="106"/>
    </row>
    <row r="576" ht="14.25" customHeight="1">
      <c r="A576" s="60"/>
      <c r="B576" s="60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  <c r="AA576" s="106"/>
      <c r="AB576" s="106"/>
    </row>
    <row r="577" ht="14.25" customHeight="1">
      <c r="A577" s="60"/>
      <c r="B577" s="60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  <c r="AA577" s="106"/>
      <c r="AB577" s="106"/>
    </row>
    <row r="578" ht="14.25" customHeight="1">
      <c r="A578" s="60"/>
      <c r="B578" s="60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  <c r="AA578" s="106"/>
      <c r="AB578" s="106"/>
    </row>
    <row r="579" ht="14.25" customHeight="1">
      <c r="A579" s="60"/>
      <c r="B579" s="60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  <c r="AA579" s="106"/>
      <c r="AB579" s="106"/>
    </row>
    <row r="580" ht="14.25" customHeight="1">
      <c r="A580" s="60"/>
      <c r="B580" s="60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  <c r="AA580" s="106"/>
      <c r="AB580" s="106"/>
    </row>
    <row r="581" ht="14.25" customHeight="1">
      <c r="A581" s="60"/>
      <c r="B581" s="60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  <c r="AA581" s="106"/>
      <c r="AB581" s="106"/>
    </row>
    <row r="582" ht="14.25" customHeight="1">
      <c r="A582" s="60"/>
      <c r="B582" s="60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  <c r="AA582" s="106"/>
      <c r="AB582" s="106"/>
    </row>
    <row r="583" ht="14.25" customHeight="1">
      <c r="A583" s="60"/>
      <c r="B583" s="60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  <c r="AA583" s="106"/>
      <c r="AB583" s="106"/>
    </row>
    <row r="584" ht="14.25" customHeight="1">
      <c r="A584" s="60"/>
      <c r="B584" s="60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  <c r="AA584" s="106"/>
      <c r="AB584" s="106"/>
    </row>
    <row r="585" ht="14.25" customHeight="1">
      <c r="A585" s="60"/>
      <c r="B585" s="60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  <c r="AA585" s="106"/>
      <c r="AB585" s="106"/>
    </row>
    <row r="586" ht="14.25" customHeight="1">
      <c r="A586" s="60"/>
      <c r="B586" s="60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  <c r="AA586" s="106"/>
      <c r="AB586" s="106"/>
    </row>
    <row r="587" ht="14.25" customHeight="1">
      <c r="A587" s="60"/>
      <c r="B587" s="60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  <c r="AA587" s="106"/>
      <c r="AB587" s="106"/>
    </row>
    <row r="588" ht="14.25" customHeight="1">
      <c r="A588" s="60"/>
      <c r="B588" s="60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  <c r="AA588" s="106"/>
      <c r="AB588" s="106"/>
    </row>
    <row r="589" ht="14.25" customHeight="1">
      <c r="A589" s="60"/>
      <c r="B589" s="60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  <c r="AA589" s="106"/>
      <c r="AB589" s="106"/>
    </row>
    <row r="590" ht="14.25" customHeight="1">
      <c r="A590" s="60"/>
      <c r="B590" s="60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  <c r="AA590" s="106"/>
      <c r="AB590" s="106"/>
    </row>
    <row r="591" ht="14.25" customHeight="1">
      <c r="A591" s="60"/>
      <c r="B591" s="60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  <c r="AA591" s="106"/>
      <c r="AB591" s="106"/>
    </row>
    <row r="592" ht="14.25" customHeight="1">
      <c r="A592" s="60"/>
      <c r="B592" s="60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  <c r="AA592" s="106"/>
      <c r="AB592" s="106"/>
    </row>
    <row r="593" ht="14.25" customHeight="1">
      <c r="A593" s="60"/>
      <c r="B593" s="60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  <c r="AA593" s="106"/>
      <c r="AB593" s="106"/>
    </row>
    <row r="594" ht="14.25" customHeight="1">
      <c r="A594" s="60"/>
      <c r="B594" s="60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  <c r="AA594" s="106"/>
      <c r="AB594" s="106"/>
    </row>
    <row r="595" ht="14.25" customHeight="1">
      <c r="A595" s="60"/>
      <c r="B595" s="60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  <c r="AA595" s="106"/>
      <c r="AB595" s="106"/>
    </row>
    <row r="596" ht="14.25" customHeight="1">
      <c r="A596" s="60"/>
      <c r="B596" s="60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  <c r="AA596" s="106"/>
      <c r="AB596" s="106"/>
    </row>
    <row r="597" ht="14.25" customHeight="1">
      <c r="A597" s="60"/>
      <c r="B597" s="60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  <c r="AA597" s="106"/>
      <c r="AB597" s="106"/>
    </row>
    <row r="598" ht="14.25" customHeight="1">
      <c r="A598" s="60"/>
      <c r="B598" s="60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  <c r="AA598" s="106"/>
      <c r="AB598" s="106"/>
    </row>
    <row r="599" ht="14.25" customHeight="1">
      <c r="A599" s="60"/>
      <c r="B599" s="60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  <c r="AA599" s="106"/>
      <c r="AB599" s="106"/>
    </row>
    <row r="600" ht="14.25" customHeight="1">
      <c r="A600" s="60"/>
      <c r="B600" s="60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  <c r="AA600" s="106"/>
      <c r="AB600" s="106"/>
    </row>
    <row r="601" ht="14.25" customHeight="1">
      <c r="A601" s="60"/>
      <c r="B601" s="60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  <c r="AA601" s="106"/>
      <c r="AB601" s="106"/>
    </row>
    <row r="602" ht="14.25" customHeight="1">
      <c r="A602" s="60"/>
      <c r="B602" s="60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  <c r="AA602" s="106"/>
      <c r="AB602" s="106"/>
    </row>
    <row r="603" ht="14.25" customHeight="1">
      <c r="A603" s="60"/>
      <c r="B603" s="60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  <c r="AA603" s="106"/>
      <c r="AB603" s="106"/>
    </row>
    <row r="604" ht="14.25" customHeight="1">
      <c r="A604" s="60"/>
      <c r="B604" s="60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  <c r="AA604" s="106"/>
      <c r="AB604" s="106"/>
    </row>
    <row r="605" ht="14.25" customHeight="1">
      <c r="A605" s="60"/>
      <c r="B605" s="60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  <c r="AA605" s="106"/>
      <c r="AB605" s="106"/>
    </row>
    <row r="606" ht="14.25" customHeight="1">
      <c r="A606" s="60"/>
      <c r="B606" s="60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  <c r="AA606" s="106"/>
      <c r="AB606" s="106"/>
    </row>
    <row r="607" ht="14.25" customHeight="1">
      <c r="A607" s="60"/>
      <c r="B607" s="60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  <c r="AA607" s="106"/>
      <c r="AB607" s="106"/>
    </row>
    <row r="608" ht="14.25" customHeight="1">
      <c r="A608" s="60"/>
      <c r="B608" s="60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  <c r="AA608" s="106"/>
      <c r="AB608" s="106"/>
    </row>
    <row r="609" ht="14.25" customHeight="1">
      <c r="A609" s="60"/>
      <c r="B609" s="60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  <c r="AA609" s="106"/>
      <c r="AB609" s="106"/>
    </row>
    <row r="610" ht="14.25" customHeight="1">
      <c r="A610" s="60"/>
      <c r="B610" s="60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  <c r="AA610" s="106"/>
      <c r="AB610" s="106"/>
    </row>
    <row r="611" ht="14.25" customHeight="1">
      <c r="A611" s="60"/>
      <c r="B611" s="60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  <c r="AA611" s="106"/>
      <c r="AB611" s="106"/>
    </row>
    <row r="612" ht="14.25" customHeight="1">
      <c r="A612" s="60"/>
      <c r="B612" s="60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  <c r="AA612" s="106"/>
      <c r="AB612" s="106"/>
    </row>
    <row r="613" ht="14.25" customHeight="1">
      <c r="A613" s="60"/>
      <c r="B613" s="60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  <c r="AA613" s="106"/>
      <c r="AB613" s="106"/>
    </row>
    <row r="614" ht="14.25" customHeight="1">
      <c r="A614" s="60"/>
      <c r="B614" s="60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  <c r="AA614" s="106"/>
      <c r="AB614" s="106"/>
    </row>
    <row r="615" ht="14.25" customHeight="1">
      <c r="A615" s="60"/>
      <c r="B615" s="60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  <c r="AA615" s="106"/>
      <c r="AB615" s="106"/>
    </row>
    <row r="616" ht="14.25" customHeight="1">
      <c r="A616" s="60"/>
      <c r="B616" s="60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  <c r="AA616" s="106"/>
      <c r="AB616" s="106"/>
    </row>
    <row r="617" ht="14.25" customHeight="1">
      <c r="A617" s="60"/>
      <c r="B617" s="60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  <c r="AA617" s="106"/>
      <c r="AB617" s="106"/>
    </row>
    <row r="618" ht="14.25" customHeight="1">
      <c r="A618" s="60"/>
      <c r="B618" s="60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  <c r="AA618" s="106"/>
      <c r="AB618" s="106"/>
    </row>
    <row r="619" ht="14.25" customHeight="1">
      <c r="A619" s="60"/>
      <c r="B619" s="60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  <c r="AA619" s="106"/>
      <c r="AB619" s="106"/>
    </row>
    <row r="620" ht="14.25" customHeight="1">
      <c r="A620" s="60"/>
      <c r="B620" s="60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  <c r="AA620" s="106"/>
      <c r="AB620" s="106"/>
    </row>
    <row r="621" ht="14.25" customHeight="1">
      <c r="A621" s="60"/>
      <c r="B621" s="60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  <c r="AA621" s="106"/>
      <c r="AB621" s="106"/>
    </row>
    <row r="622" ht="14.25" customHeight="1">
      <c r="A622" s="60"/>
      <c r="B622" s="60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  <c r="AA622" s="106"/>
      <c r="AB622" s="106"/>
    </row>
    <row r="623" ht="14.25" customHeight="1">
      <c r="A623" s="60"/>
      <c r="B623" s="60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  <c r="AA623" s="106"/>
      <c r="AB623" s="106"/>
    </row>
    <row r="624" ht="14.25" customHeight="1">
      <c r="A624" s="60"/>
      <c r="B624" s="60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  <c r="AA624" s="106"/>
      <c r="AB624" s="106"/>
    </row>
    <row r="625" ht="14.25" customHeight="1">
      <c r="A625" s="60"/>
      <c r="B625" s="60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  <c r="AA625" s="106"/>
      <c r="AB625" s="106"/>
    </row>
    <row r="626" ht="14.25" customHeight="1">
      <c r="A626" s="60"/>
      <c r="B626" s="60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  <c r="AA626" s="106"/>
      <c r="AB626" s="106"/>
    </row>
    <row r="627" ht="14.25" customHeight="1">
      <c r="A627" s="60"/>
      <c r="B627" s="60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  <c r="AA627" s="106"/>
      <c r="AB627" s="106"/>
    </row>
    <row r="628" ht="14.25" customHeight="1">
      <c r="A628" s="60"/>
      <c r="B628" s="60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  <c r="AA628" s="106"/>
      <c r="AB628" s="106"/>
    </row>
    <row r="629" ht="14.25" customHeight="1">
      <c r="A629" s="60"/>
      <c r="B629" s="60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  <c r="AA629" s="106"/>
      <c r="AB629" s="106"/>
    </row>
    <row r="630" ht="14.25" customHeight="1">
      <c r="A630" s="60"/>
      <c r="B630" s="60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  <c r="AA630" s="106"/>
      <c r="AB630" s="106"/>
    </row>
    <row r="631" ht="14.25" customHeight="1">
      <c r="A631" s="60"/>
      <c r="B631" s="60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  <c r="AA631" s="106"/>
      <c r="AB631" s="106"/>
    </row>
    <row r="632" ht="14.25" customHeight="1">
      <c r="A632" s="60"/>
      <c r="B632" s="60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  <c r="AA632" s="106"/>
      <c r="AB632" s="106"/>
    </row>
    <row r="633" ht="14.25" customHeight="1">
      <c r="A633" s="60"/>
      <c r="B633" s="60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  <c r="AA633" s="106"/>
      <c r="AB633" s="106"/>
    </row>
    <row r="634" ht="14.25" customHeight="1">
      <c r="A634" s="60"/>
      <c r="B634" s="60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  <c r="AA634" s="106"/>
      <c r="AB634" s="106"/>
    </row>
    <row r="635" ht="14.25" customHeight="1">
      <c r="A635" s="60"/>
      <c r="B635" s="60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  <c r="AA635" s="106"/>
      <c r="AB635" s="106"/>
    </row>
    <row r="636" ht="14.25" customHeight="1">
      <c r="A636" s="60"/>
      <c r="B636" s="60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  <c r="AA636" s="106"/>
      <c r="AB636" s="106"/>
    </row>
    <row r="637" ht="14.25" customHeight="1">
      <c r="A637" s="60"/>
      <c r="B637" s="60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  <c r="AA637" s="106"/>
      <c r="AB637" s="106"/>
    </row>
    <row r="638" ht="14.25" customHeight="1">
      <c r="A638" s="60"/>
      <c r="B638" s="60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  <c r="AA638" s="106"/>
      <c r="AB638" s="106"/>
    </row>
    <row r="639" ht="14.25" customHeight="1">
      <c r="A639" s="60"/>
      <c r="B639" s="60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  <c r="AA639" s="106"/>
      <c r="AB639" s="106"/>
    </row>
    <row r="640" ht="14.25" customHeight="1">
      <c r="A640" s="60"/>
      <c r="B640" s="60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  <c r="AA640" s="106"/>
      <c r="AB640" s="106"/>
    </row>
    <row r="641" ht="14.25" customHeight="1">
      <c r="A641" s="60"/>
      <c r="B641" s="60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  <c r="AA641" s="106"/>
      <c r="AB641" s="106"/>
    </row>
    <row r="642" ht="14.25" customHeight="1">
      <c r="A642" s="60"/>
      <c r="B642" s="60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  <c r="AA642" s="106"/>
      <c r="AB642" s="106"/>
    </row>
    <row r="643" ht="14.25" customHeight="1">
      <c r="A643" s="60"/>
      <c r="B643" s="60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  <c r="AA643" s="106"/>
      <c r="AB643" s="106"/>
    </row>
    <row r="644" ht="14.25" customHeight="1">
      <c r="A644" s="60"/>
      <c r="B644" s="60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  <c r="AA644" s="106"/>
      <c r="AB644" s="106"/>
    </row>
    <row r="645" ht="14.25" customHeight="1">
      <c r="A645" s="60"/>
      <c r="B645" s="60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  <c r="AA645" s="106"/>
      <c r="AB645" s="106"/>
    </row>
    <row r="646" ht="14.25" customHeight="1">
      <c r="A646" s="60"/>
      <c r="B646" s="60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  <c r="AA646" s="106"/>
      <c r="AB646" s="106"/>
    </row>
    <row r="647" ht="14.25" customHeight="1">
      <c r="A647" s="60"/>
      <c r="B647" s="60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  <c r="AA647" s="106"/>
      <c r="AB647" s="106"/>
    </row>
    <row r="648" ht="14.25" customHeight="1">
      <c r="A648" s="60"/>
      <c r="B648" s="60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  <c r="AA648" s="106"/>
      <c r="AB648" s="106"/>
    </row>
    <row r="649" ht="14.25" customHeight="1">
      <c r="A649" s="60"/>
      <c r="B649" s="60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  <c r="AA649" s="106"/>
      <c r="AB649" s="106"/>
    </row>
    <row r="650" ht="14.25" customHeight="1">
      <c r="A650" s="60"/>
      <c r="B650" s="60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  <c r="AA650" s="106"/>
      <c r="AB650" s="106"/>
    </row>
    <row r="651" ht="14.25" customHeight="1">
      <c r="A651" s="60"/>
      <c r="B651" s="60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  <c r="AA651" s="106"/>
      <c r="AB651" s="106"/>
    </row>
    <row r="652" ht="14.25" customHeight="1">
      <c r="A652" s="60"/>
      <c r="B652" s="60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  <c r="AA652" s="106"/>
      <c r="AB652" s="106"/>
    </row>
    <row r="653" ht="14.25" customHeight="1">
      <c r="A653" s="60"/>
      <c r="B653" s="60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  <c r="AA653" s="106"/>
      <c r="AB653" s="106"/>
    </row>
    <row r="654" ht="14.25" customHeight="1">
      <c r="A654" s="60"/>
      <c r="B654" s="60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  <c r="AA654" s="106"/>
      <c r="AB654" s="106"/>
    </row>
    <row r="655" ht="14.25" customHeight="1">
      <c r="A655" s="60"/>
      <c r="B655" s="60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  <c r="AA655" s="106"/>
      <c r="AB655" s="106"/>
    </row>
    <row r="656" ht="14.25" customHeight="1">
      <c r="A656" s="60"/>
      <c r="B656" s="60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  <c r="AA656" s="106"/>
      <c r="AB656" s="106"/>
    </row>
    <row r="657" ht="14.25" customHeight="1">
      <c r="A657" s="60"/>
      <c r="B657" s="60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  <c r="AA657" s="106"/>
      <c r="AB657" s="106"/>
    </row>
    <row r="658" ht="14.25" customHeight="1">
      <c r="A658" s="60"/>
      <c r="B658" s="60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  <c r="AA658" s="106"/>
      <c r="AB658" s="106"/>
    </row>
    <row r="659" ht="14.25" customHeight="1">
      <c r="A659" s="60"/>
      <c r="B659" s="60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  <c r="AA659" s="106"/>
      <c r="AB659" s="106"/>
    </row>
    <row r="660" ht="14.25" customHeight="1">
      <c r="A660" s="60"/>
      <c r="B660" s="60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  <c r="AA660" s="106"/>
      <c r="AB660" s="106"/>
    </row>
    <row r="661" ht="14.25" customHeight="1">
      <c r="A661" s="60"/>
      <c r="B661" s="60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  <c r="AA661" s="106"/>
      <c r="AB661" s="106"/>
    </row>
    <row r="662" ht="14.25" customHeight="1">
      <c r="A662" s="60"/>
      <c r="B662" s="60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  <c r="AA662" s="106"/>
      <c r="AB662" s="106"/>
    </row>
    <row r="663" ht="14.25" customHeight="1">
      <c r="A663" s="60"/>
      <c r="B663" s="60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  <c r="AA663" s="106"/>
      <c r="AB663" s="106"/>
    </row>
    <row r="664" ht="14.25" customHeight="1">
      <c r="A664" s="60"/>
      <c r="B664" s="60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  <c r="AA664" s="106"/>
      <c r="AB664" s="106"/>
    </row>
    <row r="665" ht="14.25" customHeight="1">
      <c r="A665" s="60"/>
      <c r="B665" s="60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  <c r="AA665" s="106"/>
      <c r="AB665" s="106"/>
    </row>
    <row r="666" ht="14.25" customHeight="1">
      <c r="A666" s="60"/>
      <c r="B666" s="60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  <c r="AA666" s="106"/>
      <c r="AB666" s="106"/>
    </row>
    <row r="667" ht="14.25" customHeight="1">
      <c r="A667" s="60"/>
      <c r="B667" s="60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  <c r="AA667" s="106"/>
      <c r="AB667" s="106"/>
    </row>
    <row r="668" ht="14.25" customHeight="1">
      <c r="A668" s="60"/>
      <c r="B668" s="60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  <c r="AA668" s="106"/>
      <c r="AB668" s="106"/>
    </row>
    <row r="669" ht="14.25" customHeight="1">
      <c r="A669" s="60"/>
      <c r="B669" s="60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  <c r="AA669" s="106"/>
      <c r="AB669" s="106"/>
    </row>
    <row r="670" ht="14.25" customHeight="1">
      <c r="A670" s="60"/>
      <c r="B670" s="60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  <c r="AA670" s="106"/>
      <c r="AB670" s="106"/>
    </row>
    <row r="671" ht="14.25" customHeight="1">
      <c r="A671" s="60"/>
      <c r="B671" s="60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  <c r="AA671" s="106"/>
      <c r="AB671" s="106"/>
    </row>
    <row r="672" ht="14.25" customHeight="1">
      <c r="A672" s="60"/>
      <c r="B672" s="60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  <c r="AA672" s="106"/>
      <c r="AB672" s="106"/>
    </row>
    <row r="673" ht="14.25" customHeight="1">
      <c r="A673" s="60"/>
      <c r="B673" s="60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  <c r="AA673" s="106"/>
      <c r="AB673" s="106"/>
    </row>
    <row r="674" ht="14.25" customHeight="1">
      <c r="A674" s="60"/>
      <c r="B674" s="60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  <c r="AA674" s="106"/>
      <c r="AB674" s="106"/>
    </row>
    <row r="675" ht="14.25" customHeight="1">
      <c r="A675" s="60"/>
      <c r="B675" s="60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  <c r="AA675" s="106"/>
      <c r="AB675" s="106"/>
    </row>
    <row r="676" ht="14.25" customHeight="1">
      <c r="A676" s="60"/>
      <c r="B676" s="60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  <c r="AA676" s="106"/>
      <c r="AB676" s="106"/>
    </row>
    <row r="677" ht="14.25" customHeight="1">
      <c r="A677" s="60"/>
      <c r="B677" s="60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  <c r="AA677" s="106"/>
      <c r="AB677" s="106"/>
    </row>
    <row r="678" ht="14.25" customHeight="1">
      <c r="A678" s="60"/>
      <c r="B678" s="60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  <c r="AA678" s="106"/>
      <c r="AB678" s="106"/>
    </row>
    <row r="679" ht="14.25" customHeight="1">
      <c r="A679" s="60"/>
      <c r="B679" s="60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  <c r="AA679" s="106"/>
      <c r="AB679" s="106"/>
    </row>
    <row r="680" ht="14.25" customHeight="1">
      <c r="A680" s="60"/>
      <c r="B680" s="60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  <c r="AA680" s="106"/>
      <c r="AB680" s="106"/>
    </row>
    <row r="681" ht="14.25" customHeight="1">
      <c r="A681" s="60"/>
      <c r="B681" s="60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  <c r="AA681" s="106"/>
      <c r="AB681" s="106"/>
    </row>
    <row r="682" ht="14.25" customHeight="1">
      <c r="A682" s="60"/>
      <c r="B682" s="60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  <c r="AA682" s="106"/>
      <c r="AB682" s="106"/>
    </row>
    <row r="683" ht="14.25" customHeight="1">
      <c r="A683" s="60"/>
      <c r="B683" s="60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  <c r="AA683" s="106"/>
      <c r="AB683" s="106"/>
    </row>
    <row r="684" ht="14.25" customHeight="1">
      <c r="A684" s="60"/>
      <c r="B684" s="60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  <c r="AA684" s="106"/>
      <c r="AB684" s="106"/>
    </row>
    <row r="685" ht="14.25" customHeight="1">
      <c r="A685" s="60"/>
      <c r="B685" s="60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  <c r="AA685" s="106"/>
      <c r="AB685" s="106"/>
    </row>
    <row r="686" ht="14.25" customHeight="1">
      <c r="A686" s="60"/>
      <c r="B686" s="60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  <c r="AA686" s="106"/>
      <c r="AB686" s="106"/>
    </row>
    <row r="687" ht="14.25" customHeight="1">
      <c r="A687" s="60"/>
      <c r="B687" s="60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  <c r="AA687" s="106"/>
      <c r="AB687" s="106"/>
    </row>
    <row r="688" ht="14.25" customHeight="1">
      <c r="A688" s="60"/>
      <c r="B688" s="60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  <c r="AA688" s="106"/>
      <c r="AB688" s="106"/>
    </row>
    <row r="689" ht="14.25" customHeight="1">
      <c r="A689" s="60"/>
      <c r="B689" s="60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  <c r="AA689" s="106"/>
      <c r="AB689" s="106"/>
    </row>
    <row r="690" ht="14.25" customHeight="1">
      <c r="A690" s="60"/>
      <c r="B690" s="60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  <c r="AA690" s="106"/>
      <c r="AB690" s="106"/>
    </row>
    <row r="691" ht="14.25" customHeight="1">
      <c r="A691" s="60"/>
      <c r="B691" s="60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  <c r="AA691" s="106"/>
      <c r="AB691" s="106"/>
    </row>
    <row r="692" ht="14.25" customHeight="1">
      <c r="A692" s="60"/>
      <c r="B692" s="60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  <c r="AA692" s="106"/>
      <c r="AB692" s="106"/>
    </row>
    <row r="693" ht="14.25" customHeight="1">
      <c r="A693" s="60"/>
      <c r="B693" s="60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  <c r="AA693" s="106"/>
      <c r="AB693" s="106"/>
    </row>
    <row r="694" ht="14.25" customHeight="1">
      <c r="A694" s="60"/>
      <c r="B694" s="60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  <c r="AA694" s="106"/>
      <c r="AB694" s="106"/>
    </row>
    <row r="695" ht="14.25" customHeight="1">
      <c r="A695" s="60"/>
      <c r="B695" s="60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  <c r="AA695" s="106"/>
      <c r="AB695" s="106"/>
    </row>
    <row r="696" ht="14.25" customHeight="1">
      <c r="A696" s="60"/>
      <c r="B696" s="60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  <c r="AA696" s="106"/>
      <c r="AB696" s="106"/>
    </row>
    <row r="697" ht="14.25" customHeight="1">
      <c r="A697" s="60"/>
      <c r="B697" s="60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  <c r="AA697" s="106"/>
      <c r="AB697" s="106"/>
    </row>
    <row r="698" ht="14.25" customHeight="1">
      <c r="A698" s="60"/>
      <c r="B698" s="60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  <c r="AA698" s="106"/>
      <c r="AB698" s="106"/>
    </row>
    <row r="699" ht="14.25" customHeight="1">
      <c r="A699" s="60"/>
      <c r="B699" s="60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  <c r="AA699" s="106"/>
      <c r="AB699" s="106"/>
    </row>
    <row r="700" ht="14.25" customHeight="1">
      <c r="A700" s="60"/>
      <c r="B700" s="60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  <c r="AA700" s="106"/>
      <c r="AB700" s="106"/>
    </row>
    <row r="701" ht="14.25" customHeight="1">
      <c r="A701" s="60"/>
      <c r="B701" s="60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  <c r="AA701" s="106"/>
      <c r="AB701" s="106"/>
    </row>
    <row r="702" ht="14.25" customHeight="1">
      <c r="A702" s="60"/>
      <c r="B702" s="60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  <c r="AA702" s="106"/>
      <c r="AB702" s="106"/>
    </row>
    <row r="703" ht="14.25" customHeight="1">
      <c r="A703" s="60"/>
      <c r="B703" s="60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  <c r="AA703" s="106"/>
      <c r="AB703" s="106"/>
    </row>
    <row r="704" ht="14.25" customHeight="1">
      <c r="A704" s="60"/>
      <c r="B704" s="60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  <c r="AA704" s="106"/>
      <c r="AB704" s="106"/>
    </row>
    <row r="705" ht="14.25" customHeight="1">
      <c r="A705" s="60"/>
      <c r="B705" s="60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  <c r="AA705" s="106"/>
      <c r="AB705" s="106"/>
    </row>
    <row r="706" ht="14.25" customHeight="1">
      <c r="A706" s="60"/>
      <c r="B706" s="60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  <c r="AA706" s="106"/>
      <c r="AB706" s="106"/>
    </row>
    <row r="707" ht="14.25" customHeight="1">
      <c r="A707" s="60"/>
      <c r="B707" s="60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  <c r="AA707" s="106"/>
      <c r="AB707" s="106"/>
    </row>
    <row r="708" ht="14.25" customHeight="1">
      <c r="A708" s="60"/>
      <c r="B708" s="60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  <c r="AA708" s="106"/>
      <c r="AB708" s="106"/>
    </row>
    <row r="709" ht="14.25" customHeight="1">
      <c r="A709" s="60"/>
      <c r="B709" s="60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  <c r="AA709" s="106"/>
      <c r="AB709" s="106"/>
    </row>
    <row r="710" ht="14.25" customHeight="1">
      <c r="A710" s="60"/>
      <c r="B710" s="60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  <c r="AA710" s="106"/>
      <c r="AB710" s="106"/>
    </row>
    <row r="711" ht="14.25" customHeight="1">
      <c r="A711" s="60"/>
      <c r="B711" s="60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  <c r="AA711" s="106"/>
      <c r="AB711" s="106"/>
    </row>
    <row r="712" ht="14.25" customHeight="1">
      <c r="A712" s="60"/>
      <c r="B712" s="60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  <c r="AA712" s="106"/>
      <c r="AB712" s="106"/>
    </row>
    <row r="713" ht="14.25" customHeight="1">
      <c r="A713" s="60"/>
      <c r="B713" s="60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  <c r="AA713" s="106"/>
      <c r="AB713" s="106"/>
    </row>
    <row r="714" ht="14.25" customHeight="1">
      <c r="A714" s="60"/>
      <c r="B714" s="60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  <c r="AA714" s="106"/>
      <c r="AB714" s="106"/>
    </row>
    <row r="715" ht="14.25" customHeight="1">
      <c r="A715" s="60"/>
      <c r="B715" s="60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  <c r="AA715" s="106"/>
      <c r="AB715" s="106"/>
    </row>
    <row r="716" ht="14.25" customHeight="1">
      <c r="A716" s="60"/>
      <c r="B716" s="60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  <c r="AA716" s="106"/>
      <c r="AB716" s="106"/>
    </row>
    <row r="717" ht="14.25" customHeight="1">
      <c r="A717" s="60"/>
      <c r="B717" s="60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  <c r="AA717" s="106"/>
      <c r="AB717" s="106"/>
    </row>
    <row r="718" ht="14.25" customHeight="1">
      <c r="A718" s="60"/>
      <c r="B718" s="60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  <c r="AA718" s="106"/>
      <c r="AB718" s="106"/>
    </row>
    <row r="719" ht="14.25" customHeight="1">
      <c r="A719" s="60"/>
      <c r="B719" s="60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  <c r="AA719" s="106"/>
      <c r="AB719" s="106"/>
    </row>
    <row r="720" ht="14.25" customHeight="1">
      <c r="A720" s="60"/>
      <c r="B720" s="60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  <c r="AA720" s="106"/>
      <c r="AB720" s="106"/>
    </row>
    <row r="721" ht="14.25" customHeight="1">
      <c r="A721" s="60"/>
      <c r="B721" s="60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  <c r="AA721" s="106"/>
      <c r="AB721" s="106"/>
    </row>
    <row r="722" ht="14.25" customHeight="1">
      <c r="A722" s="60"/>
      <c r="B722" s="60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  <c r="AA722" s="106"/>
      <c r="AB722" s="106"/>
    </row>
    <row r="723" ht="14.25" customHeight="1">
      <c r="A723" s="60"/>
      <c r="B723" s="60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  <c r="AA723" s="106"/>
      <c r="AB723" s="106"/>
    </row>
    <row r="724" ht="14.25" customHeight="1">
      <c r="A724" s="60"/>
      <c r="B724" s="60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  <c r="AA724" s="106"/>
      <c r="AB724" s="106"/>
    </row>
    <row r="725" ht="14.25" customHeight="1">
      <c r="A725" s="60"/>
      <c r="B725" s="60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  <c r="AA725" s="106"/>
      <c r="AB725" s="106"/>
    </row>
    <row r="726" ht="14.25" customHeight="1">
      <c r="A726" s="60"/>
      <c r="B726" s="60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  <c r="AA726" s="106"/>
      <c r="AB726" s="106"/>
    </row>
    <row r="727" ht="14.25" customHeight="1">
      <c r="A727" s="60"/>
      <c r="B727" s="60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  <c r="AA727" s="106"/>
      <c r="AB727" s="106"/>
    </row>
    <row r="728" ht="14.25" customHeight="1">
      <c r="A728" s="60"/>
      <c r="B728" s="60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  <c r="AA728" s="106"/>
      <c r="AB728" s="106"/>
    </row>
    <row r="729" ht="14.25" customHeight="1">
      <c r="A729" s="60"/>
      <c r="B729" s="60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  <c r="AA729" s="106"/>
      <c r="AB729" s="106"/>
    </row>
    <row r="730" ht="14.25" customHeight="1">
      <c r="A730" s="60"/>
      <c r="B730" s="60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  <c r="AA730" s="106"/>
      <c r="AB730" s="106"/>
    </row>
    <row r="731" ht="14.25" customHeight="1">
      <c r="A731" s="60"/>
      <c r="B731" s="60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  <c r="AA731" s="106"/>
      <c r="AB731" s="106"/>
    </row>
    <row r="732" ht="14.25" customHeight="1">
      <c r="A732" s="60"/>
      <c r="B732" s="60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  <c r="AA732" s="106"/>
      <c r="AB732" s="106"/>
    </row>
    <row r="733" ht="14.25" customHeight="1">
      <c r="A733" s="60"/>
      <c r="B733" s="60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  <c r="AA733" s="106"/>
      <c r="AB733" s="106"/>
    </row>
    <row r="734" ht="14.25" customHeight="1">
      <c r="A734" s="60"/>
      <c r="B734" s="60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  <c r="AA734" s="106"/>
      <c r="AB734" s="106"/>
    </row>
    <row r="735" ht="14.25" customHeight="1">
      <c r="A735" s="60"/>
      <c r="B735" s="60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  <c r="AA735" s="106"/>
      <c r="AB735" s="106"/>
    </row>
    <row r="736" ht="14.25" customHeight="1">
      <c r="A736" s="60"/>
      <c r="B736" s="60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  <c r="AA736" s="106"/>
      <c r="AB736" s="106"/>
    </row>
    <row r="737" ht="14.25" customHeight="1">
      <c r="A737" s="60"/>
      <c r="B737" s="60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  <c r="AA737" s="106"/>
      <c r="AB737" s="106"/>
    </row>
    <row r="738" ht="14.25" customHeight="1">
      <c r="A738" s="60"/>
      <c r="B738" s="60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  <c r="AA738" s="106"/>
      <c r="AB738" s="106"/>
    </row>
    <row r="739" ht="14.25" customHeight="1">
      <c r="A739" s="60"/>
      <c r="B739" s="60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  <c r="AA739" s="106"/>
      <c r="AB739" s="106"/>
    </row>
    <row r="740" ht="14.25" customHeight="1">
      <c r="A740" s="60"/>
      <c r="B740" s="60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  <c r="AA740" s="106"/>
      <c r="AB740" s="106"/>
    </row>
    <row r="741" ht="14.25" customHeight="1">
      <c r="A741" s="60"/>
      <c r="B741" s="60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  <c r="AA741" s="106"/>
      <c r="AB741" s="106"/>
    </row>
    <row r="742" ht="14.25" customHeight="1">
      <c r="A742" s="60"/>
      <c r="B742" s="60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  <c r="AA742" s="106"/>
      <c r="AB742" s="106"/>
    </row>
    <row r="743" ht="14.25" customHeight="1">
      <c r="A743" s="60"/>
      <c r="B743" s="60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  <c r="AA743" s="106"/>
      <c r="AB743" s="106"/>
    </row>
    <row r="744" ht="14.25" customHeight="1">
      <c r="A744" s="60"/>
      <c r="B744" s="60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  <c r="AA744" s="106"/>
      <c r="AB744" s="106"/>
    </row>
    <row r="745" ht="14.25" customHeight="1">
      <c r="A745" s="60"/>
      <c r="B745" s="60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  <c r="AA745" s="106"/>
      <c r="AB745" s="106"/>
    </row>
    <row r="746" ht="14.25" customHeight="1">
      <c r="A746" s="60"/>
      <c r="B746" s="60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  <c r="AA746" s="106"/>
      <c r="AB746" s="106"/>
    </row>
    <row r="747" ht="14.25" customHeight="1">
      <c r="A747" s="60"/>
      <c r="B747" s="60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  <c r="AA747" s="106"/>
      <c r="AB747" s="106"/>
    </row>
    <row r="748" ht="14.25" customHeight="1">
      <c r="A748" s="60"/>
      <c r="B748" s="60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  <c r="AA748" s="106"/>
      <c r="AB748" s="106"/>
    </row>
    <row r="749" ht="14.25" customHeight="1">
      <c r="A749" s="60"/>
      <c r="B749" s="60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  <c r="AA749" s="106"/>
      <c r="AB749" s="106"/>
    </row>
    <row r="750" ht="14.25" customHeight="1">
      <c r="A750" s="60"/>
      <c r="B750" s="60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  <c r="AA750" s="106"/>
      <c r="AB750" s="106"/>
    </row>
    <row r="751" ht="14.25" customHeight="1">
      <c r="A751" s="60"/>
      <c r="B751" s="60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  <c r="AA751" s="106"/>
      <c r="AB751" s="106"/>
    </row>
    <row r="752" ht="14.25" customHeight="1">
      <c r="A752" s="60"/>
      <c r="B752" s="60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  <c r="AA752" s="106"/>
      <c r="AB752" s="106"/>
    </row>
    <row r="753" ht="14.25" customHeight="1">
      <c r="A753" s="60"/>
      <c r="B753" s="60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  <c r="AA753" s="106"/>
      <c r="AB753" s="106"/>
    </row>
    <row r="754" ht="14.25" customHeight="1">
      <c r="A754" s="60"/>
      <c r="B754" s="60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  <c r="AA754" s="106"/>
      <c r="AB754" s="106"/>
    </row>
    <row r="755" ht="14.25" customHeight="1">
      <c r="A755" s="60"/>
      <c r="B755" s="60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  <c r="AA755" s="106"/>
      <c r="AB755" s="106"/>
    </row>
    <row r="756" ht="14.25" customHeight="1">
      <c r="A756" s="60"/>
      <c r="B756" s="60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  <c r="AA756" s="106"/>
      <c r="AB756" s="106"/>
    </row>
    <row r="757" ht="14.25" customHeight="1">
      <c r="A757" s="60"/>
      <c r="B757" s="60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  <c r="AA757" s="106"/>
      <c r="AB757" s="106"/>
    </row>
    <row r="758" ht="14.25" customHeight="1">
      <c r="A758" s="60"/>
      <c r="B758" s="60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  <c r="AA758" s="106"/>
      <c r="AB758" s="106"/>
    </row>
    <row r="759" ht="14.25" customHeight="1">
      <c r="A759" s="60"/>
      <c r="B759" s="60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  <c r="AA759" s="106"/>
      <c r="AB759" s="106"/>
    </row>
    <row r="760" ht="14.25" customHeight="1">
      <c r="A760" s="60"/>
      <c r="B760" s="60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  <c r="AA760" s="106"/>
      <c r="AB760" s="106"/>
    </row>
    <row r="761" ht="14.25" customHeight="1">
      <c r="A761" s="60"/>
      <c r="B761" s="60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  <c r="AA761" s="106"/>
      <c r="AB761" s="106"/>
    </row>
    <row r="762" ht="14.25" customHeight="1">
      <c r="A762" s="60"/>
      <c r="B762" s="60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  <c r="AA762" s="106"/>
      <c r="AB762" s="106"/>
    </row>
    <row r="763" ht="14.25" customHeight="1">
      <c r="A763" s="60"/>
      <c r="B763" s="60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  <c r="AA763" s="106"/>
      <c r="AB763" s="106"/>
    </row>
    <row r="764" ht="14.25" customHeight="1">
      <c r="A764" s="60"/>
      <c r="B764" s="60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  <c r="AA764" s="106"/>
      <c r="AB764" s="106"/>
    </row>
    <row r="765" ht="14.25" customHeight="1">
      <c r="A765" s="60"/>
      <c r="B765" s="60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  <c r="AA765" s="106"/>
      <c r="AB765" s="106"/>
    </row>
    <row r="766" ht="14.25" customHeight="1">
      <c r="A766" s="60"/>
      <c r="B766" s="60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  <c r="AA766" s="106"/>
      <c r="AB766" s="106"/>
    </row>
    <row r="767" ht="14.25" customHeight="1">
      <c r="A767" s="60"/>
      <c r="B767" s="60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  <c r="AA767" s="106"/>
      <c r="AB767" s="106"/>
    </row>
    <row r="768" ht="14.25" customHeight="1">
      <c r="A768" s="60"/>
      <c r="B768" s="60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  <c r="AA768" s="106"/>
      <c r="AB768" s="106"/>
    </row>
    <row r="769" ht="14.25" customHeight="1">
      <c r="A769" s="60"/>
      <c r="B769" s="60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  <c r="AA769" s="106"/>
      <c r="AB769" s="106"/>
    </row>
    <row r="770" ht="14.25" customHeight="1">
      <c r="A770" s="60"/>
      <c r="B770" s="60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  <c r="AA770" s="106"/>
      <c r="AB770" s="106"/>
    </row>
    <row r="771" ht="14.25" customHeight="1">
      <c r="A771" s="60"/>
      <c r="B771" s="60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  <c r="AA771" s="106"/>
      <c r="AB771" s="106"/>
    </row>
    <row r="772" ht="14.25" customHeight="1">
      <c r="A772" s="60"/>
      <c r="B772" s="60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  <c r="AA772" s="106"/>
      <c r="AB772" s="106"/>
    </row>
    <row r="773" ht="14.25" customHeight="1">
      <c r="A773" s="60"/>
      <c r="B773" s="60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  <c r="AA773" s="106"/>
      <c r="AB773" s="106"/>
    </row>
    <row r="774" ht="14.25" customHeight="1">
      <c r="A774" s="60"/>
      <c r="B774" s="60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  <c r="AA774" s="106"/>
      <c r="AB774" s="106"/>
    </row>
    <row r="775" ht="14.25" customHeight="1">
      <c r="A775" s="60"/>
      <c r="B775" s="60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  <c r="AA775" s="106"/>
      <c r="AB775" s="106"/>
    </row>
    <row r="776" ht="14.25" customHeight="1">
      <c r="A776" s="60"/>
      <c r="B776" s="60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  <c r="AA776" s="106"/>
      <c r="AB776" s="106"/>
    </row>
    <row r="777" ht="14.25" customHeight="1">
      <c r="A777" s="60"/>
      <c r="B777" s="60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  <c r="AA777" s="106"/>
      <c r="AB777" s="106"/>
    </row>
    <row r="778" ht="14.25" customHeight="1">
      <c r="A778" s="60"/>
      <c r="B778" s="60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  <c r="AA778" s="106"/>
      <c r="AB778" s="106"/>
    </row>
    <row r="779" ht="14.25" customHeight="1">
      <c r="A779" s="60"/>
      <c r="B779" s="60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  <c r="AA779" s="106"/>
      <c r="AB779" s="106"/>
    </row>
    <row r="780" ht="14.25" customHeight="1">
      <c r="A780" s="60"/>
      <c r="B780" s="60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  <c r="AA780" s="106"/>
      <c r="AB780" s="106"/>
    </row>
    <row r="781" ht="14.25" customHeight="1">
      <c r="A781" s="60"/>
      <c r="B781" s="60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  <c r="AA781" s="106"/>
      <c r="AB781" s="106"/>
    </row>
    <row r="782" ht="14.25" customHeight="1">
      <c r="A782" s="60"/>
      <c r="B782" s="60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  <c r="AA782" s="106"/>
      <c r="AB782" s="106"/>
    </row>
    <row r="783" ht="14.25" customHeight="1">
      <c r="A783" s="60"/>
      <c r="B783" s="60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  <c r="AA783" s="106"/>
      <c r="AB783" s="106"/>
    </row>
    <row r="784" ht="14.25" customHeight="1">
      <c r="A784" s="60"/>
      <c r="B784" s="60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  <c r="AA784" s="106"/>
      <c r="AB784" s="106"/>
    </row>
    <row r="785" ht="14.25" customHeight="1">
      <c r="A785" s="60"/>
      <c r="B785" s="60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  <c r="AA785" s="106"/>
      <c r="AB785" s="106"/>
    </row>
    <row r="786" ht="14.25" customHeight="1">
      <c r="A786" s="60"/>
      <c r="B786" s="60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  <c r="AA786" s="106"/>
      <c r="AB786" s="106"/>
    </row>
    <row r="787" ht="14.25" customHeight="1">
      <c r="A787" s="60"/>
      <c r="B787" s="60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  <c r="AA787" s="106"/>
      <c r="AB787" s="106"/>
    </row>
    <row r="788" ht="14.25" customHeight="1">
      <c r="A788" s="60"/>
      <c r="B788" s="60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  <c r="AA788" s="106"/>
      <c r="AB788" s="106"/>
    </row>
    <row r="789" ht="14.25" customHeight="1">
      <c r="A789" s="60"/>
      <c r="B789" s="60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  <c r="AA789" s="106"/>
      <c r="AB789" s="106"/>
    </row>
    <row r="790" ht="14.25" customHeight="1">
      <c r="A790" s="60"/>
      <c r="B790" s="60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  <c r="AA790" s="106"/>
      <c r="AB790" s="106"/>
    </row>
    <row r="791" ht="14.25" customHeight="1">
      <c r="A791" s="60"/>
      <c r="B791" s="60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  <c r="AA791" s="106"/>
      <c r="AB791" s="106"/>
    </row>
    <row r="792" ht="14.25" customHeight="1">
      <c r="A792" s="60"/>
      <c r="B792" s="60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  <c r="AA792" s="106"/>
      <c r="AB792" s="106"/>
    </row>
    <row r="793" ht="14.25" customHeight="1">
      <c r="A793" s="60"/>
      <c r="B793" s="60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  <c r="AA793" s="106"/>
      <c r="AB793" s="106"/>
    </row>
    <row r="794" ht="14.25" customHeight="1">
      <c r="A794" s="60"/>
      <c r="B794" s="60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  <c r="AA794" s="106"/>
      <c r="AB794" s="106"/>
    </row>
    <row r="795" ht="14.25" customHeight="1">
      <c r="A795" s="60"/>
      <c r="B795" s="60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  <c r="AA795" s="106"/>
      <c r="AB795" s="106"/>
    </row>
    <row r="796" ht="14.25" customHeight="1">
      <c r="A796" s="60"/>
      <c r="B796" s="60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  <c r="AA796" s="106"/>
      <c r="AB796" s="106"/>
    </row>
    <row r="797" ht="14.25" customHeight="1">
      <c r="A797" s="60"/>
      <c r="B797" s="60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  <c r="AA797" s="106"/>
      <c r="AB797" s="106"/>
    </row>
    <row r="798" ht="14.25" customHeight="1">
      <c r="A798" s="60"/>
      <c r="B798" s="60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  <c r="AA798" s="106"/>
      <c r="AB798" s="106"/>
    </row>
    <row r="799" ht="14.25" customHeight="1">
      <c r="A799" s="60"/>
      <c r="B799" s="60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  <c r="AA799" s="106"/>
      <c r="AB799" s="106"/>
    </row>
    <row r="800" ht="14.25" customHeight="1">
      <c r="A800" s="60"/>
      <c r="B800" s="60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  <c r="AA800" s="106"/>
      <c r="AB800" s="106"/>
    </row>
    <row r="801" ht="14.25" customHeight="1">
      <c r="A801" s="60"/>
      <c r="B801" s="60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  <c r="AA801" s="106"/>
      <c r="AB801" s="106"/>
    </row>
    <row r="802" ht="14.25" customHeight="1">
      <c r="A802" s="60"/>
      <c r="B802" s="60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  <c r="AA802" s="106"/>
      <c r="AB802" s="106"/>
    </row>
    <row r="803" ht="14.25" customHeight="1">
      <c r="A803" s="60"/>
      <c r="B803" s="60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  <c r="AA803" s="106"/>
      <c r="AB803" s="106"/>
    </row>
    <row r="804" ht="14.25" customHeight="1">
      <c r="A804" s="60"/>
      <c r="B804" s="60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  <c r="AA804" s="106"/>
      <c r="AB804" s="106"/>
    </row>
    <row r="805" ht="14.25" customHeight="1">
      <c r="A805" s="60"/>
      <c r="B805" s="60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  <c r="AA805" s="106"/>
      <c r="AB805" s="106"/>
    </row>
    <row r="806" ht="14.25" customHeight="1">
      <c r="A806" s="60"/>
      <c r="B806" s="60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  <c r="AA806" s="106"/>
      <c r="AB806" s="106"/>
    </row>
    <row r="807" ht="14.25" customHeight="1">
      <c r="A807" s="60"/>
      <c r="B807" s="60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  <c r="AA807" s="106"/>
      <c r="AB807" s="106"/>
    </row>
    <row r="808" ht="14.25" customHeight="1">
      <c r="A808" s="60"/>
      <c r="B808" s="60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  <c r="AA808" s="106"/>
      <c r="AB808" s="106"/>
    </row>
    <row r="809" ht="14.25" customHeight="1">
      <c r="A809" s="60"/>
      <c r="B809" s="60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  <c r="AA809" s="106"/>
      <c r="AB809" s="106"/>
    </row>
    <row r="810" ht="14.25" customHeight="1">
      <c r="A810" s="60"/>
      <c r="B810" s="60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  <c r="AA810" s="106"/>
      <c r="AB810" s="106"/>
    </row>
    <row r="811" ht="14.25" customHeight="1">
      <c r="A811" s="60"/>
      <c r="B811" s="60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  <c r="AA811" s="106"/>
      <c r="AB811" s="106"/>
    </row>
    <row r="812" ht="14.25" customHeight="1">
      <c r="A812" s="60"/>
      <c r="B812" s="60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  <c r="AA812" s="106"/>
      <c r="AB812" s="106"/>
    </row>
    <row r="813" ht="14.25" customHeight="1">
      <c r="A813" s="60"/>
      <c r="B813" s="60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  <c r="AA813" s="106"/>
      <c r="AB813" s="106"/>
    </row>
    <row r="814" ht="14.25" customHeight="1">
      <c r="A814" s="60"/>
      <c r="B814" s="60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  <c r="AA814" s="106"/>
      <c r="AB814" s="106"/>
    </row>
    <row r="815" ht="14.25" customHeight="1">
      <c r="A815" s="60"/>
      <c r="B815" s="60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  <c r="AA815" s="106"/>
      <c r="AB815" s="106"/>
    </row>
    <row r="816" ht="14.25" customHeight="1">
      <c r="A816" s="60"/>
      <c r="B816" s="60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  <c r="AA816" s="106"/>
      <c r="AB816" s="106"/>
    </row>
    <row r="817" ht="14.25" customHeight="1">
      <c r="A817" s="60"/>
      <c r="B817" s="60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  <c r="AA817" s="106"/>
      <c r="AB817" s="106"/>
    </row>
    <row r="818" ht="14.25" customHeight="1">
      <c r="A818" s="60"/>
      <c r="B818" s="60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  <c r="AA818" s="106"/>
      <c r="AB818" s="106"/>
    </row>
    <row r="819" ht="14.25" customHeight="1">
      <c r="A819" s="60"/>
      <c r="B819" s="60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  <c r="AA819" s="106"/>
      <c r="AB819" s="106"/>
    </row>
    <row r="820" ht="14.25" customHeight="1">
      <c r="A820" s="60"/>
      <c r="B820" s="60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  <c r="AA820" s="106"/>
      <c r="AB820" s="106"/>
    </row>
    <row r="821" ht="14.25" customHeight="1">
      <c r="A821" s="60"/>
      <c r="B821" s="60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  <c r="AA821" s="106"/>
      <c r="AB821" s="106"/>
    </row>
    <row r="822" ht="14.25" customHeight="1">
      <c r="A822" s="60"/>
      <c r="B822" s="60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  <c r="AA822" s="106"/>
      <c r="AB822" s="106"/>
    </row>
    <row r="823" ht="14.25" customHeight="1">
      <c r="A823" s="60"/>
      <c r="B823" s="60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  <c r="AA823" s="106"/>
      <c r="AB823" s="106"/>
    </row>
    <row r="824" ht="14.25" customHeight="1">
      <c r="A824" s="60"/>
      <c r="B824" s="60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  <c r="AA824" s="106"/>
      <c r="AB824" s="106"/>
    </row>
    <row r="825" ht="14.25" customHeight="1">
      <c r="A825" s="60"/>
      <c r="B825" s="60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  <c r="AA825" s="106"/>
      <c r="AB825" s="106"/>
    </row>
    <row r="826" ht="14.25" customHeight="1">
      <c r="A826" s="60"/>
      <c r="B826" s="60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  <c r="AA826" s="106"/>
      <c r="AB826" s="106"/>
    </row>
    <row r="827" ht="14.25" customHeight="1">
      <c r="A827" s="60"/>
      <c r="B827" s="60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  <c r="AA827" s="106"/>
      <c r="AB827" s="106"/>
    </row>
    <row r="828" ht="14.25" customHeight="1">
      <c r="A828" s="60"/>
      <c r="B828" s="60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  <c r="AA828" s="106"/>
      <c r="AB828" s="106"/>
    </row>
    <row r="829" ht="14.25" customHeight="1">
      <c r="A829" s="60"/>
      <c r="B829" s="60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  <c r="AA829" s="106"/>
      <c r="AB829" s="106"/>
    </row>
    <row r="830" ht="14.25" customHeight="1">
      <c r="A830" s="60"/>
      <c r="B830" s="60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  <c r="AA830" s="106"/>
      <c r="AB830" s="106"/>
    </row>
    <row r="831" ht="14.25" customHeight="1">
      <c r="A831" s="60"/>
      <c r="B831" s="60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  <c r="AA831" s="106"/>
      <c r="AB831" s="106"/>
    </row>
    <row r="832" ht="14.25" customHeight="1">
      <c r="A832" s="60"/>
      <c r="B832" s="60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  <c r="AA832" s="106"/>
      <c r="AB832" s="106"/>
    </row>
    <row r="833" ht="14.25" customHeight="1">
      <c r="A833" s="60"/>
      <c r="B833" s="60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  <c r="AA833" s="106"/>
      <c r="AB833" s="106"/>
    </row>
    <row r="834" ht="14.25" customHeight="1">
      <c r="A834" s="60"/>
      <c r="B834" s="60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  <c r="AA834" s="106"/>
      <c r="AB834" s="106"/>
    </row>
    <row r="835" ht="14.25" customHeight="1">
      <c r="A835" s="60"/>
      <c r="B835" s="60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  <c r="AA835" s="106"/>
      <c r="AB835" s="106"/>
    </row>
    <row r="836" ht="14.25" customHeight="1">
      <c r="A836" s="60"/>
      <c r="B836" s="60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  <c r="AA836" s="106"/>
      <c r="AB836" s="106"/>
    </row>
    <row r="837" ht="14.25" customHeight="1">
      <c r="A837" s="60"/>
      <c r="B837" s="60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  <c r="AA837" s="106"/>
      <c r="AB837" s="106"/>
    </row>
    <row r="838" ht="14.25" customHeight="1">
      <c r="A838" s="60"/>
      <c r="B838" s="60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  <c r="AA838" s="106"/>
      <c r="AB838" s="106"/>
    </row>
    <row r="839" ht="14.25" customHeight="1">
      <c r="A839" s="60"/>
      <c r="B839" s="60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  <c r="AA839" s="106"/>
      <c r="AB839" s="106"/>
    </row>
    <row r="840" ht="14.25" customHeight="1">
      <c r="A840" s="60"/>
      <c r="B840" s="60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  <c r="AA840" s="106"/>
      <c r="AB840" s="106"/>
    </row>
    <row r="841" ht="14.25" customHeight="1">
      <c r="A841" s="60"/>
      <c r="B841" s="60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  <c r="AA841" s="106"/>
      <c r="AB841" s="106"/>
    </row>
    <row r="842" ht="14.25" customHeight="1">
      <c r="A842" s="60"/>
      <c r="B842" s="60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  <c r="AA842" s="106"/>
      <c r="AB842" s="106"/>
    </row>
    <row r="843" ht="14.25" customHeight="1">
      <c r="A843" s="60"/>
      <c r="B843" s="60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  <c r="AA843" s="106"/>
      <c r="AB843" s="106"/>
    </row>
    <row r="844" ht="14.25" customHeight="1">
      <c r="A844" s="60"/>
      <c r="B844" s="60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  <c r="AA844" s="106"/>
      <c r="AB844" s="106"/>
    </row>
    <row r="845" ht="14.25" customHeight="1">
      <c r="A845" s="60"/>
      <c r="B845" s="60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  <c r="AA845" s="106"/>
      <c r="AB845" s="106"/>
    </row>
    <row r="846" ht="14.25" customHeight="1">
      <c r="A846" s="60"/>
      <c r="B846" s="60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  <c r="AA846" s="106"/>
      <c r="AB846" s="106"/>
    </row>
    <row r="847" ht="14.25" customHeight="1">
      <c r="A847" s="60"/>
      <c r="B847" s="60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  <c r="AA847" s="106"/>
      <c r="AB847" s="106"/>
    </row>
    <row r="848" ht="14.25" customHeight="1">
      <c r="A848" s="60"/>
      <c r="B848" s="60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  <c r="AA848" s="106"/>
      <c r="AB848" s="106"/>
    </row>
    <row r="849" ht="14.25" customHeight="1">
      <c r="A849" s="60"/>
      <c r="B849" s="60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  <c r="AA849" s="106"/>
      <c r="AB849" s="106"/>
    </row>
    <row r="850" ht="14.25" customHeight="1">
      <c r="A850" s="60"/>
      <c r="B850" s="60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  <c r="AA850" s="106"/>
      <c r="AB850" s="106"/>
    </row>
    <row r="851" ht="14.25" customHeight="1">
      <c r="A851" s="60"/>
      <c r="B851" s="60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  <c r="AA851" s="106"/>
      <c r="AB851" s="106"/>
    </row>
    <row r="852" ht="14.25" customHeight="1">
      <c r="A852" s="60"/>
      <c r="B852" s="60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  <c r="AA852" s="106"/>
      <c r="AB852" s="106"/>
    </row>
    <row r="853" ht="14.25" customHeight="1">
      <c r="A853" s="60"/>
      <c r="B853" s="60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  <c r="AA853" s="106"/>
      <c r="AB853" s="106"/>
    </row>
    <row r="854" ht="14.25" customHeight="1">
      <c r="A854" s="60"/>
      <c r="B854" s="60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  <c r="AA854" s="106"/>
      <c r="AB854" s="106"/>
    </row>
    <row r="855" ht="14.25" customHeight="1">
      <c r="A855" s="60"/>
      <c r="B855" s="60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  <c r="AA855" s="106"/>
      <c r="AB855" s="106"/>
    </row>
    <row r="856" ht="14.25" customHeight="1">
      <c r="A856" s="60"/>
      <c r="B856" s="60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  <c r="AA856" s="106"/>
      <c r="AB856" s="106"/>
    </row>
    <row r="857" ht="14.25" customHeight="1">
      <c r="A857" s="60"/>
      <c r="B857" s="60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  <c r="AA857" s="106"/>
      <c r="AB857" s="106"/>
    </row>
    <row r="858" ht="14.25" customHeight="1">
      <c r="A858" s="60"/>
      <c r="B858" s="60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  <c r="AA858" s="106"/>
      <c r="AB858" s="106"/>
    </row>
    <row r="859" ht="14.25" customHeight="1">
      <c r="A859" s="60"/>
      <c r="B859" s="60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  <c r="AA859" s="106"/>
      <c r="AB859" s="106"/>
    </row>
    <row r="860" ht="14.25" customHeight="1">
      <c r="A860" s="60"/>
      <c r="B860" s="60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  <c r="AA860" s="106"/>
      <c r="AB860" s="106"/>
    </row>
    <row r="861" ht="14.25" customHeight="1">
      <c r="A861" s="60"/>
      <c r="B861" s="60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  <c r="AA861" s="106"/>
      <c r="AB861" s="106"/>
    </row>
    <row r="862" ht="14.25" customHeight="1">
      <c r="A862" s="60"/>
      <c r="B862" s="60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  <c r="AA862" s="106"/>
      <c r="AB862" s="106"/>
    </row>
    <row r="863" ht="14.25" customHeight="1">
      <c r="A863" s="60"/>
      <c r="B863" s="60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  <c r="AA863" s="106"/>
      <c r="AB863" s="106"/>
    </row>
    <row r="864" ht="14.25" customHeight="1">
      <c r="A864" s="60"/>
      <c r="B864" s="60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  <c r="AA864" s="106"/>
      <c r="AB864" s="106"/>
    </row>
    <row r="865" ht="14.25" customHeight="1">
      <c r="A865" s="60"/>
      <c r="B865" s="60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  <c r="AA865" s="106"/>
      <c r="AB865" s="106"/>
    </row>
    <row r="866" ht="14.25" customHeight="1">
      <c r="A866" s="60"/>
      <c r="B866" s="60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  <c r="AA866" s="106"/>
      <c r="AB866" s="106"/>
    </row>
    <row r="867" ht="14.25" customHeight="1">
      <c r="A867" s="60"/>
      <c r="B867" s="60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  <c r="AA867" s="106"/>
      <c r="AB867" s="106"/>
    </row>
    <row r="868" ht="14.25" customHeight="1">
      <c r="A868" s="60"/>
      <c r="B868" s="60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  <c r="AA868" s="106"/>
      <c r="AB868" s="106"/>
    </row>
    <row r="869" ht="14.25" customHeight="1">
      <c r="A869" s="60"/>
      <c r="B869" s="60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  <c r="AA869" s="106"/>
      <c r="AB869" s="106"/>
    </row>
    <row r="870" ht="14.25" customHeight="1">
      <c r="A870" s="60"/>
      <c r="B870" s="60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  <c r="AA870" s="106"/>
      <c r="AB870" s="106"/>
    </row>
    <row r="871" ht="14.25" customHeight="1">
      <c r="A871" s="60"/>
      <c r="B871" s="60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  <c r="AA871" s="106"/>
      <c r="AB871" s="106"/>
    </row>
    <row r="872" ht="14.25" customHeight="1">
      <c r="A872" s="60"/>
      <c r="B872" s="60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  <c r="AA872" s="106"/>
      <c r="AB872" s="106"/>
    </row>
    <row r="873" ht="14.25" customHeight="1">
      <c r="A873" s="60"/>
      <c r="B873" s="60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  <c r="AA873" s="106"/>
      <c r="AB873" s="106"/>
    </row>
    <row r="874" ht="14.25" customHeight="1">
      <c r="A874" s="60"/>
      <c r="B874" s="60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  <c r="AA874" s="106"/>
      <c r="AB874" s="106"/>
    </row>
    <row r="875" ht="14.25" customHeight="1">
      <c r="A875" s="60"/>
      <c r="B875" s="60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  <c r="AA875" s="106"/>
      <c r="AB875" s="106"/>
    </row>
    <row r="876" ht="14.25" customHeight="1">
      <c r="A876" s="60"/>
      <c r="B876" s="60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  <c r="AA876" s="106"/>
      <c r="AB876" s="106"/>
    </row>
    <row r="877" ht="14.25" customHeight="1">
      <c r="A877" s="60"/>
      <c r="B877" s="60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  <c r="AA877" s="106"/>
      <c r="AB877" s="106"/>
    </row>
    <row r="878" ht="14.25" customHeight="1">
      <c r="A878" s="60"/>
      <c r="B878" s="60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  <c r="AA878" s="106"/>
      <c r="AB878" s="106"/>
    </row>
    <row r="879" ht="14.25" customHeight="1">
      <c r="A879" s="60"/>
      <c r="B879" s="60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  <c r="AA879" s="106"/>
      <c r="AB879" s="106"/>
    </row>
    <row r="880" ht="14.25" customHeight="1">
      <c r="A880" s="60"/>
      <c r="B880" s="60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  <c r="AA880" s="106"/>
      <c r="AB880" s="106"/>
    </row>
    <row r="881" ht="14.25" customHeight="1">
      <c r="A881" s="60"/>
      <c r="B881" s="60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  <c r="AA881" s="106"/>
      <c r="AB881" s="106"/>
    </row>
    <row r="882" ht="14.25" customHeight="1">
      <c r="A882" s="60"/>
      <c r="B882" s="60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  <c r="AA882" s="106"/>
      <c r="AB882" s="106"/>
    </row>
    <row r="883" ht="14.25" customHeight="1">
      <c r="A883" s="60"/>
      <c r="B883" s="60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  <c r="AA883" s="106"/>
      <c r="AB883" s="106"/>
    </row>
    <row r="884" ht="14.25" customHeight="1">
      <c r="A884" s="60"/>
      <c r="B884" s="60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  <c r="AA884" s="106"/>
      <c r="AB884" s="106"/>
    </row>
    <row r="885" ht="14.25" customHeight="1">
      <c r="A885" s="60"/>
      <c r="B885" s="60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  <c r="AA885" s="106"/>
      <c r="AB885" s="106"/>
    </row>
    <row r="886" ht="14.25" customHeight="1">
      <c r="A886" s="60"/>
      <c r="B886" s="60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  <c r="AA886" s="106"/>
      <c r="AB886" s="106"/>
    </row>
    <row r="887" ht="14.25" customHeight="1">
      <c r="A887" s="60"/>
      <c r="B887" s="60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  <c r="AA887" s="106"/>
      <c r="AB887" s="106"/>
    </row>
    <row r="888" ht="14.25" customHeight="1">
      <c r="A888" s="60"/>
      <c r="B888" s="60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  <c r="AA888" s="106"/>
      <c r="AB888" s="106"/>
    </row>
    <row r="889" ht="14.25" customHeight="1">
      <c r="A889" s="60"/>
      <c r="B889" s="60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  <c r="AA889" s="106"/>
      <c r="AB889" s="106"/>
    </row>
    <row r="890" ht="14.25" customHeight="1">
      <c r="A890" s="60"/>
      <c r="B890" s="60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  <c r="AA890" s="106"/>
      <c r="AB890" s="106"/>
    </row>
    <row r="891" ht="14.25" customHeight="1">
      <c r="A891" s="60"/>
      <c r="B891" s="60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  <c r="AA891" s="106"/>
      <c r="AB891" s="106"/>
    </row>
    <row r="892" ht="14.25" customHeight="1">
      <c r="A892" s="60"/>
      <c r="B892" s="60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  <c r="AA892" s="106"/>
      <c r="AB892" s="106"/>
    </row>
    <row r="893" ht="14.25" customHeight="1">
      <c r="A893" s="60"/>
      <c r="B893" s="60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  <c r="AA893" s="106"/>
      <c r="AB893" s="106"/>
    </row>
    <row r="894" ht="14.25" customHeight="1">
      <c r="A894" s="60"/>
      <c r="B894" s="60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  <c r="AA894" s="106"/>
      <c r="AB894" s="106"/>
    </row>
    <row r="895" ht="14.25" customHeight="1">
      <c r="A895" s="60"/>
      <c r="B895" s="60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  <c r="AA895" s="106"/>
      <c r="AB895" s="106"/>
    </row>
    <row r="896" ht="14.25" customHeight="1">
      <c r="A896" s="60"/>
      <c r="B896" s="60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  <c r="AA896" s="106"/>
      <c r="AB896" s="106"/>
    </row>
    <row r="897" ht="14.25" customHeight="1">
      <c r="A897" s="60"/>
      <c r="B897" s="60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  <c r="AA897" s="106"/>
      <c r="AB897" s="106"/>
    </row>
    <row r="898" ht="14.25" customHeight="1">
      <c r="A898" s="60"/>
      <c r="B898" s="60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  <c r="AA898" s="106"/>
      <c r="AB898" s="106"/>
    </row>
    <row r="899" ht="14.25" customHeight="1">
      <c r="A899" s="60"/>
      <c r="B899" s="60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  <c r="AA899" s="106"/>
      <c r="AB899" s="106"/>
    </row>
    <row r="900" ht="14.25" customHeight="1">
      <c r="A900" s="60"/>
      <c r="B900" s="60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  <c r="AA900" s="106"/>
      <c r="AB900" s="106"/>
    </row>
    <row r="901" ht="14.25" customHeight="1">
      <c r="A901" s="60"/>
      <c r="B901" s="60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  <c r="AA901" s="106"/>
      <c r="AB901" s="106"/>
    </row>
    <row r="902" ht="14.25" customHeight="1">
      <c r="A902" s="60"/>
      <c r="B902" s="60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  <c r="AA902" s="106"/>
      <c r="AB902" s="106"/>
    </row>
    <row r="903" ht="14.25" customHeight="1">
      <c r="A903" s="60"/>
      <c r="B903" s="60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  <c r="AA903" s="106"/>
      <c r="AB903" s="106"/>
    </row>
    <row r="904" ht="14.25" customHeight="1">
      <c r="A904" s="60"/>
      <c r="B904" s="60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  <c r="AA904" s="106"/>
      <c r="AB904" s="106"/>
    </row>
    <row r="905" ht="14.25" customHeight="1">
      <c r="A905" s="60"/>
      <c r="B905" s="60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  <c r="AA905" s="106"/>
      <c r="AB905" s="106"/>
    </row>
    <row r="906" ht="14.25" customHeight="1">
      <c r="A906" s="60"/>
      <c r="B906" s="60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  <c r="AA906" s="106"/>
      <c r="AB906" s="106"/>
    </row>
    <row r="907" ht="14.25" customHeight="1">
      <c r="A907" s="60"/>
      <c r="B907" s="60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  <c r="AA907" s="106"/>
      <c r="AB907" s="106"/>
    </row>
    <row r="908" ht="14.25" customHeight="1">
      <c r="A908" s="60"/>
      <c r="B908" s="60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  <c r="AA908" s="106"/>
      <c r="AB908" s="106"/>
    </row>
    <row r="909" ht="14.25" customHeight="1">
      <c r="A909" s="60"/>
      <c r="B909" s="60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  <c r="AA909" s="106"/>
      <c r="AB909" s="106"/>
    </row>
    <row r="910" ht="14.25" customHeight="1">
      <c r="A910" s="60"/>
      <c r="B910" s="60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  <c r="AA910" s="106"/>
      <c r="AB910" s="106"/>
    </row>
    <row r="911" ht="14.25" customHeight="1">
      <c r="A911" s="60"/>
      <c r="B911" s="60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  <c r="AA911" s="106"/>
      <c r="AB911" s="106"/>
    </row>
    <row r="912" ht="14.25" customHeight="1">
      <c r="A912" s="60"/>
      <c r="B912" s="60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  <c r="AA912" s="106"/>
      <c r="AB912" s="106"/>
    </row>
    <row r="913" ht="14.25" customHeight="1">
      <c r="A913" s="60"/>
      <c r="B913" s="60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  <c r="AA913" s="106"/>
      <c r="AB913" s="106"/>
    </row>
    <row r="914" ht="14.25" customHeight="1">
      <c r="A914" s="60"/>
      <c r="B914" s="60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  <c r="AA914" s="106"/>
      <c r="AB914" s="106"/>
    </row>
    <row r="915" ht="14.25" customHeight="1">
      <c r="A915" s="60"/>
      <c r="B915" s="60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  <c r="AA915" s="106"/>
      <c r="AB915" s="106"/>
    </row>
    <row r="916" ht="14.25" customHeight="1">
      <c r="A916" s="60"/>
      <c r="B916" s="60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  <c r="AA916" s="106"/>
      <c r="AB916" s="106"/>
    </row>
    <row r="917" ht="14.25" customHeight="1">
      <c r="A917" s="60"/>
      <c r="B917" s="60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  <c r="AA917" s="106"/>
      <c r="AB917" s="106"/>
    </row>
    <row r="918" ht="14.25" customHeight="1">
      <c r="A918" s="60"/>
      <c r="B918" s="60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  <c r="AA918" s="106"/>
      <c r="AB918" s="106"/>
    </row>
    <row r="919" ht="14.25" customHeight="1">
      <c r="A919" s="60"/>
      <c r="B919" s="60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  <c r="AA919" s="106"/>
      <c r="AB919" s="106"/>
    </row>
    <row r="920" ht="14.25" customHeight="1">
      <c r="A920" s="60"/>
      <c r="B920" s="60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  <c r="AA920" s="106"/>
      <c r="AB920" s="106"/>
    </row>
    <row r="921" ht="14.25" customHeight="1">
      <c r="A921" s="60"/>
      <c r="B921" s="60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  <c r="AA921" s="106"/>
      <c r="AB921" s="106"/>
    </row>
    <row r="922" ht="14.25" customHeight="1">
      <c r="A922" s="60"/>
      <c r="B922" s="60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  <c r="AA922" s="106"/>
      <c r="AB922" s="106"/>
    </row>
    <row r="923" ht="14.25" customHeight="1">
      <c r="A923" s="60"/>
      <c r="B923" s="60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  <c r="AA923" s="106"/>
      <c r="AB923" s="106"/>
    </row>
    <row r="924" ht="14.25" customHeight="1">
      <c r="A924" s="60"/>
      <c r="B924" s="60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  <c r="AA924" s="106"/>
      <c r="AB924" s="106"/>
    </row>
    <row r="925" ht="14.25" customHeight="1">
      <c r="A925" s="60"/>
      <c r="B925" s="60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  <c r="AA925" s="106"/>
      <c r="AB925" s="106"/>
    </row>
    <row r="926" ht="14.25" customHeight="1">
      <c r="A926" s="60"/>
      <c r="B926" s="60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  <c r="AA926" s="106"/>
      <c r="AB926" s="106"/>
    </row>
    <row r="927" ht="14.25" customHeight="1">
      <c r="A927" s="60"/>
      <c r="B927" s="60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  <c r="AA927" s="106"/>
      <c r="AB927" s="106"/>
    </row>
    <row r="928" ht="14.25" customHeight="1">
      <c r="A928" s="60"/>
      <c r="B928" s="60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  <c r="AA928" s="106"/>
      <c r="AB928" s="106"/>
    </row>
    <row r="929" ht="14.25" customHeight="1">
      <c r="A929" s="60"/>
      <c r="B929" s="60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  <c r="AA929" s="106"/>
      <c r="AB929" s="106"/>
    </row>
    <row r="930" ht="14.25" customHeight="1">
      <c r="A930" s="60"/>
      <c r="B930" s="60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  <c r="AA930" s="106"/>
      <c r="AB930" s="106"/>
    </row>
    <row r="931" ht="14.25" customHeight="1">
      <c r="A931" s="60"/>
      <c r="B931" s="60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  <c r="AA931" s="106"/>
      <c r="AB931" s="106"/>
    </row>
    <row r="932" ht="14.25" customHeight="1">
      <c r="A932" s="60"/>
      <c r="B932" s="60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  <c r="AA932" s="106"/>
      <c r="AB932" s="106"/>
    </row>
    <row r="933" ht="14.25" customHeight="1">
      <c r="A933" s="60"/>
      <c r="B933" s="60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  <c r="AA933" s="106"/>
      <c r="AB933" s="106"/>
    </row>
    <row r="934" ht="14.25" customHeight="1">
      <c r="A934" s="60"/>
      <c r="B934" s="60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  <c r="AA934" s="106"/>
      <c r="AB934" s="106"/>
    </row>
    <row r="935" ht="14.25" customHeight="1">
      <c r="A935" s="60"/>
      <c r="B935" s="60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  <c r="AA935" s="106"/>
      <c r="AB935" s="106"/>
    </row>
    <row r="936" ht="14.25" customHeight="1">
      <c r="A936" s="60"/>
      <c r="B936" s="60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  <c r="AA936" s="106"/>
      <c r="AB936" s="106"/>
    </row>
    <row r="937" ht="14.25" customHeight="1">
      <c r="A937" s="60"/>
      <c r="B937" s="60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  <c r="AA937" s="106"/>
      <c r="AB937" s="106"/>
    </row>
    <row r="938" ht="14.25" customHeight="1">
      <c r="A938" s="60"/>
      <c r="B938" s="60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  <c r="AA938" s="106"/>
      <c r="AB938" s="106"/>
    </row>
    <row r="939" ht="14.25" customHeight="1">
      <c r="A939" s="60"/>
      <c r="B939" s="60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  <c r="AA939" s="106"/>
      <c r="AB939" s="106"/>
    </row>
    <row r="940" ht="14.25" customHeight="1">
      <c r="A940" s="60"/>
      <c r="B940" s="60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  <c r="AA940" s="106"/>
      <c r="AB940" s="106"/>
    </row>
    <row r="941" ht="14.25" customHeight="1">
      <c r="A941" s="60"/>
      <c r="B941" s="60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  <c r="AA941" s="106"/>
      <c r="AB941" s="106"/>
    </row>
    <row r="942" ht="14.25" customHeight="1">
      <c r="A942" s="60"/>
      <c r="B942" s="60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  <c r="AA942" s="106"/>
      <c r="AB942" s="106"/>
    </row>
    <row r="943" ht="14.25" customHeight="1">
      <c r="A943" s="60"/>
      <c r="B943" s="60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  <c r="AA943" s="106"/>
      <c r="AB943" s="106"/>
    </row>
    <row r="944" ht="14.25" customHeight="1">
      <c r="A944" s="60"/>
      <c r="B944" s="60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  <c r="AA944" s="106"/>
      <c r="AB944" s="106"/>
    </row>
    <row r="945" ht="14.25" customHeight="1">
      <c r="A945" s="60"/>
      <c r="B945" s="60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  <c r="AA945" s="106"/>
      <c r="AB945" s="106"/>
    </row>
    <row r="946" ht="14.25" customHeight="1">
      <c r="A946" s="60"/>
      <c r="B946" s="60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  <c r="AA946" s="106"/>
      <c r="AB946" s="106"/>
    </row>
    <row r="947" ht="14.25" customHeight="1">
      <c r="A947" s="60"/>
      <c r="B947" s="60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  <c r="AA947" s="106"/>
      <c r="AB947" s="106"/>
    </row>
    <row r="948" ht="14.25" customHeight="1">
      <c r="A948" s="60"/>
      <c r="B948" s="60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  <c r="AA948" s="106"/>
      <c r="AB948" s="106"/>
    </row>
    <row r="949" ht="14.25" customHeight="1">
      <c r="A949" s="60"/>
      <c r="B949" s="60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  <c r="AA949" s="106"/>
      <c r="AB949" s="106"/>
    </row>
    <row r="950" ht="14.25" customHeight="1">
      <c r="A950" s="60"/>
      <c r="B950" s="60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  <c r="AA950" s="106"/>
      <c r="AB950" s="106"/>
    </row>
    <row r="951" ht="14.25" customHeight="1">
      <c r="A951" s="60"/>
      <c r="B951" s="60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  <c r="AA951" s="106"/>
      <c r="AB951" s="106"/>
    </row>
    <row r="952" ht="14.25" customHeight="1">
      <c r="A952" s="60"/>
      <c r="B952" s="60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  <c r="AA952" s="106"/>
      <c r="AB952" s="106"/>
    </row>
    <row r="953" ht="14.25" customHeight="1">
      <c r="A953" s="60"/>
      <c r="B953" s="60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  <c r="AA953" s="106"/>
      <c r="AB953" s="106"/>
    </row>
    <row r="954" ht="14.25" customHeight="1">
      <c r="A954" s="60"/>
      <c r="B954" s="60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  <c r="AA954" s="106"/>
      <c r="AB954" s="106"/>
    </row>
    <row r="955" ht="14.25" customHeight="1">
      <c r="A955" s="60"/>
      <c r="B955" s="60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  <c r="AA955" s="106"/>
      <c r="AB955" s="106"/>
    </row>
    <row r="956" ht="14.25" customHeight="1">
      <c r="A956" s="60"/>
      <c r="B956" s="60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  <c r="AA956" s="106"/>
      <c r="AB956" s="106"/>
    </row>
    <row r="957" ht="14.25" customHeight="1">
      <c r="A957" s="60"/>
      <c r="B957" s="60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  <c r="AA957" s="106"/>
      <c r="AB957" s="106"/>
    </row>
    <row r="958" ht="14.25" customHeight="1">
      <c r="A958" s="60"/>
      <c r="B958" s="60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  <c r="AA958" s="106"/>
      <c r="AB958" s="106"/>
    </row>
    <row r="959" ht="14.25" customHeight="1">
      <c r="A959" s="60"/>
      <c r="B959" s="60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  <c r="AA959" s="106"/>
      <c r="AB959" s="106"/>
    </row>
    <row r="960" ht="14.25" customHeight="1">
      <c r="A960" s="60"/>
      <c r="B960" s="60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  <c r="AA960" s="106"/>
      <c r="AB960" s="106"/>
    </row>
    <row r="961" ht="14.25" customHeight="1">
      <c r="A961" s="60"/>
      <c r="B961" s="60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  <c r="AA961" s="106"/>
      <c r="AB961" s="106"/>
    </row>
    <row r="962" ht="14.25" customHeight="1">
      <c r="A962" s="60"/>
      <c r="B962" s="60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  <c r="AA962" s="106"/>
      <c r="AB962" s="106"/>
    </row>
    <row r="963" ht="14.25" customHeight="1">
      <c r="A963" s="60"/>
      <c r="B963" s="60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  <c r="AA963" s="106"/>
      <c r="AB963" s="106"/>
    </row>
    <row r="964" ht="14.25" customHeight="1">
      <c r="A964" s="60"/>
      <c r="B964" s="60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  <c r="AA964" s="106"/>
      <c r="AB964" s="106"/>
    </row>
    <row r="965" ht="14.25" customHeight="1">
      <c r="A965" s="60"/>
      <c r="B965" s="60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  <c r="AA965" s="106"/>
      <c r="AB965" s="106"/>
    </row>
    <row r="966" ht="14.25" customHeight="1">
      <c r="A966" s="60"/>
      <c r="B966" s="60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  <c r="AA966" s="106"/>
      <c r="AB966" s="106"/>
    </row>
    <row r="967" ht="14.25" customHeight="1">
      <c r="A967" s="60"/>
      <c r="B967" s="60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  <c r="AA967" s="106"/>
      <c r="AB967" s="106"/>
    </row>
    <row r="968" ht="14.25" customHeight="1">
      <c r="A968" s="60"/>
      <c r="B968" s="60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  <c r="AA968" s="106"/>
      <c r="AB968" s="106"/>
    </row>
    <row r="969" ht="14.25" customHeight="1">
      <c r="A969" s="60"/>
      <c r="B969" s="60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  <c r="AA969" s="106"/>
      <c r="AB969" s="106"/>
    </row>
    <row r="970" ht="14.25" customHeight="1">
      <c r="A970" s="60"/>
      <c r="B970" s="60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  <c r="AA970" s="106"/>
      <c r="AB970" s="106"/>
    </row>
    <row r="971" ht="14.25" customHeight="1">
      <c r="A971" s="60"/>
      <c r="B971" s="60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  <c r="AA971" s="106"/>
      <c r="AB971" s="106"/>
    </row>
    <row r="972" ht="14.25" customHeight="1">
      <c r="A972" s="60"/>
      <c r="B972" s="60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  <c r="AA972" s="106"/>
      <c r="AB972" s="106"/>
    </row>
    <row r="973" ht="14.25" customHeight="1">
      <c r="A973" s="60"/>
      <c r="B973" s="60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  <c r="AA973" s="106"/>
      <c r="AB973" s="106"/>
    </row>
    <row r="974" ht="14.25" customHeight="1">
      <c r="A974" s="60"/>
      <c r="B974" s="60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  <c r="AA974" s="106"/>
      <c r="AB974" s="106"/>
    </row>
    <row r="975" ht="14.25" customHeight="1">
      <c r="A975" s="60"/>
      <c r="B975" s="60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  <c r="AA975" s="106"/>
      <c r="AB975" s="106"/>
    </row>
    <row r="976" ht="14.25" customHeight="1">
      <c r="A976" s="60"/>
      <c r="B976" s="60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  <c r="AA976" s="106"/>
      <c r="AB976" s="106"/>
    </row>
    <row r="977" ht="14.25" customHeight="1">
      <c r="A977" s="60"/>
      <c r="B977" s="60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  <c r="AA977" s="106"/>
      <c r="AB977" s="106"/>
    </row>
    <row r="978" ht="14.25" customHeight="1">
      <c r="A978" s="60"/>
      <c r="B978" s="60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  <c r="AA978" s="106"/>
      <c r="AB978" s="106"/>
    </row>
    <row r="979" ht="14.25" customHeight="1">
      <c r="A979" s="60"/>
      <c r="B979" s="60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  <c r="AA979" s="106"/>
      <c r="AB979" s="106"/>
    </row>
    <row r="980" ht="14.25" customHeight="1">
      <c r="A980" s="60"/>
      <c r="B980" s="60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  <c r="AA980" s="106"/>
      <c r="AB980" s="106"/>
    </row>
    <row r="981" ht="14.25" customHeight="1">
      <c r="A981" s="60"/>
      <c r="B981" s="60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  <c r="AA981" s="106"/>
      <c r="AB981" s="106"/>
    </row>
    <row r="982" ht="14.25" customHeight="1">
      <c r="A982" s="60"/>
      <c r="B982" s="60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  <c r="AA982" s="106"/>
      <c r="AB982" s="106"/>
    </row>
    <row r="983" ht="14.25" customHeight="1">
      <c r="A983" s="60"/>
      <c r="B983" s="60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  <c r="AA983" s="106"/>
      <c r="AB983" s="106"/>
    </row>
    <row r="984" ht="14.25" customHeight="1">
      <c r="A984" s="60"/>
      <c r="B984" s="60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  <c r="AA984" s="106"/>
      <c r="AB984" s="106"/>
    </row>
    <row r="985" ht="14.25" customHeight="1">
      <c r="A985" s="60"/>
      <c r="B985" s="60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  <c r="AA985" s="106"/>
      <c r="AB985" s="106"/>
    </row>
    <row r="986" ht="14.25" customHeight="1">
      <c r="A986" s="60"/>
      <c r="B986" s="60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  <c r="AA986" s="106"/>
      <c r="AB986" s="106"/>
    </row>
    <row r="987" ht="14.25" customHeight="1">
      <c r="A987" s="60"/>
      <c r="B987" s="60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  <c r="AA987" s="106"/>
      <c r="AB987" s="106"/>
    </row>
    <row r="988" ht="14.25" customHeight="1">
      <c r="A988" s="60"/>
      <c r="B988" s="60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  <c r="AA988" s="106"/>
      <c r="AB988" s="106"/>
    </row>
    <row r="989" ht="14.25" customHeight="1">
      <c r="A989" s="60"/>
      <c r="B989" s="60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  <c r="AA989" s="106"/>
      <c r="AB989" s="106"/>
    </row>
    <row r="990" ht="14.25" customHeight="1">
      <c r="A990" s="60"/>
      <c r="B990" s="60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  <c r="AA990" s="106"/>
      <c r="AB990" s="106"/>
    </row>
    <row r="991" ht="14.25" customHeight="1">
      <c r="A991" s="60"/>
      <c r="B991" s="60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  <c r="AA991" s="106"/>
      <c r="AB991" s="106"/>
    </row>
    <row r="992" ht="14.25" customHeight="1">
      <c r="A992" s="60"/>
      <c r="B992" s="60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  <c r="AA992" s="106"/>
      <c r="AB992" s="106"/>
    </row>
    <row r="993" ht="14.25" customHeight="1">
      <c r="A993" s="60"/>
      <c r="B993" s="60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  <c r="AA993" s="106"/>
      <c r="AB993" s="106"/>
    </row>
    <row r="994" ht="14.25" customHeight="1">
      <c r="A994" s="60"/>
      <c r="B994" s="60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  <c r="AA994" s="106"/>
      <c r="AB994" s="106"/>
    </row>
    <row r="995" ht="14.25" customHeight="1">
      <c r="A995" s="60"/>
      <c r="B995" s="60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  <c r="AA995" s="106"/>
      <c r="AB995" s="106"/>
    </row>
    <row r="996" ht="14.25" customHeight="1">
      <c r="A996" s="60"/>
      <c r="B996" s="60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  <c r="AA996" s="106"/>
      <c r="AB996" s="106"/>
    </row>
    <row r="997" ht="14.25" customHeight="1">
      <c r="A997" s="60"/>
      <c r="B997" s="60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  <c r="AA997" s="106"/>
      <c r="AB997" s="106"/>
    </row>
    <row r="998" ht="14.25" customHeight="1">
      <c r="A998" s="60"/>
      <c r="B998" s="60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  <c r="AA998" s="106"/>
      <c r="AB998" s="106"/>
    </row>
    <row r="999" ht="14.25" customHeight="1">
      <c r="A999" s="60"/>
      <c r="B999" s="60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  <c r="AA999" s="106"/>
      <c r="AB999" s="106"/>
    </row>
    <row r="1000" ht="14.25" customHeight="1">
      <c r="A1000" s="60"/>
      <c r="B1000" s="60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  <c r="AA1000" s="106"/>
      <c r="AB1000" s="106"/>
    </row>
    <row r="1001" ht="14.25" customHeight="1">
      <c r="A1001" s="60"/>
      <c r="B1001" s="60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  <c r="AA1001" s="106"/>
      <c r="AB1001" s="106"/>
    </row>
    <row r="1002" ht="14.25" customHeight="1">
      <c r="A1002" s="60"/>
      <c r="B1002" s="60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  <c r="AA1002" s="106"/>
      <c r="AB1002" s="106"/>
    </row>
    <row r="1003" ht="14.25" customHeight="1">
      <c r="A1003" s="60"/>
      <c r="B1003" s="60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  <c r="AA1003" s="106"/>
      <c r="AB1003" s="106"/>
    </row>
    <row r="1004" ht="14.25" customHeight="1">
      <c r="A1004" s="60"/>
      <c r="B1004" s="60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  <c r="AA1004" s="106"/>
      <c r="AB1004" s="106"/>
    </row>
    <row r="1005" ht="14.25" customHeight="1">
      <c r="A1005" s="60"/>
      <c r="B1005" s="60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  <c r="AA1005" s="106"/>
      <c r="AB1005" s="106"/>
    </row>
    <row r="1006" ht="14.25" customHeight="1">
      <c r="A1006" s="60"/>
      <c r="B1006" s="60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  <c r="AA1006" s="106"/>
      <c r="AB1006" s="106"/>
    </row>
    <row r="1007" ht="14.25" customHeight="1">
      <c r="A1007" s="60"/>
      <c r="B1007" s="60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  <c r="AA1007" s="106"/>
      <c r="AB1007" s="106"/>
    </row>
    <row r="1008" ht="14.25" customHeight="1">
      <c r="A1008" s="60"/>
      <c r="B1008" s="60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  <c r="AA1008" s="106"/>
      <c r="AB1008" s="106"/>
    </row>
    <row r="1009" ht="14.25" customHeight="1">
      <c r="A1009" s="60"/>
      <c r="B1009" s="60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  <c r="AA1009" s="106"/>
      <c r="AB1009" s="106"/>
    </row>
    <row r="1010" ht="14.25" customHeight="1">
      <c r="A1010" s="60"/>
      <c r="B1010" s="60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  <c r="AA1010" s="106"/>
      <c r="AB1010" s="106"/>
    </row>
    <row r="1011" ht="14.25" customHeight="1">
      <c r="A1011" s="60"/>
      <c r="B1011" s="60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  <c r="AA1011" s="106"/>
      <c r="AB1011" s="106"/>
    </row>
    <row r="1012" ht="14.25" customHeight="1">
      <c r="A1012" s="60"/>
      <c r="B1012" s="60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  <c r="AA1012" s="106"/>
      <c r="AB1012" s="106"/>
    </row>
    <row r="1013" ht="14.25" customHeight="1">
      <c r="A1013" s="60"/>
      <c r="B1013" s="60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  <c r="AA1013" s="106"/>
      <c r="AB1013" s="106"/>
    </row>
  </sheetData>
  <mergeCells count="6">
    <mergeCell ref="A6:A18"/>
    <mergeCell ref="A21:A25"/>
    <mergeCell ref="A26:A34"/>
    <mergeCell ref="A35:A36"/>
    <mergeCell ref="A37:A43"/>
    <mergeCell ref="A50:A55"/>
  </mergeCells>
  <conditionalFormatting sqref="C4:AB4 C46:AB46">
    <cfRule type="cellIs" dxfId="0" priority="1" operator="between">
      <formula>0</formula>
      <formula>25000</formula>
    </cfRule>
  </conditionalFormatting>
  <conditionalFormatting sqref="C4:AB4 C46:AB46">
    <cfRule type="cellIs" dxfId="1" priority="2" operator="greaterThan">
      <formula>25000</formula>
    </cfRule>
  </conditionalFormatting>
  <conditionalFormatting sqref="C4:AB4 C46:AB46">
    <cfRule type="cellIs" dxfId="2" priority="3" operator="lessThan">
      <formula>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Row="1"/>
  <cols>
    <col customWidth="1" min="1" max="1" width="7.0"/>
    <col customWidth="1" min="2" max="2" width="28.5"/>
    <col customWidth="1" min="3" max="3" width="14.63"/>
    <col customWidth="1" min="4" max="4" width="14.75"/>
    <col customWidth="1" min="5" max="26" width="12.5"/>
  </cols>
  <sheetData>
    <row r="1" ht="14.25" customHeight="1">
      <c r="A1" s="56"/>
      <c r="B1" s="56"/>
      <c r="C1" s="2" t="s">
        <v>0</v>
      </c>
      <c r="D1" s="3" t="str">
        <f t="shared" ref="D1:Z1" si="1">+C1</f>
        <v>LUNES</v>
      </c>
      <c r="E1" s="3" t="str">
        <f t="shared" si="1"/>
        <v>LUNES</v>
      </c>
      <c r="F1" s="3" t="str">
        <f t="shared" si="1"/>
        <v>LUNES</v>
      </c>
      <c r="G1" s="3" t="str">
        <f t="shared" si="1"/>
        <v>LUNES</v>
      </c>
      <c r="H1" s="3" t="str">
        <f t="shared" si="1"/>
        <v>LUNES</v>
      </c>
      <c r="I1" s="3" t="str">
        <f t="shared" si="1"/>
        <v>LUNES</v>
      </c>
      <c r="J1" s="3" t="str">
        <f t="shared" si="1"/>
        <v>LUNES</v>
      </c>
      <c r="K1" s="3" t="str">
        <f t="shared" si="1"/>
        <v>LUNES</v>
      </c>
      <c r="L1" s="3" t="str">
        <f t="shared" si="1"/>
        <v>LUNES</v>
      </c>
      <c r="M1" s="3" t="str">
        <f t="shared" si="1"/>
        <v>LUNES</v>
      </c>
      <c r="N1" s="3" t="str">
        <f t="shared" si="1"/>
        <v>LUNES</v>
      </c>
      <c r="O1" s="3" t="str">
        <f t="shared" si="1"/>
        <v>LUNES</v>
      </c>
      <c r="P1" s="3" t="str">
        <f t="shared" si="1"/>
        <v>LUNES</v>
      </c>
      <c r="Q1" s="3" t="str">
        <f t="shared" si="1"/>
        <v>LUNES</v>
      </c>
      <c r="R1" s="3" t="str">
        <f t="shared" si="1"/>
        <v>LUNES</v>
      </c>
      <c r="S1" s="3" t="str">
        <f t="shared" si="1"/>
        <v>LUNES</v>
      </c>
      <c r="T1" s="3" t="str">
        <f t="shared" si="1"/>
        <v>LUNES</v>
      </c>
      <c r="U1" s="3" t="str">
        <f t="shared" si="1"/>
        <v>LUNES</v>
      </c>
      <c r="V1" s="3" t="str">
        <f t="shared" si="1"/>
        <v>LUNES</v>
      </c>
      <c r="W1" s="3" t="str">
        <f t="shared" si="1"/>
        <v>LUNES</v>
      </c>
      <c r="X1" s="3" t="str">
        <f t="shared" si="1"/>
        <v>LUNES</v>
      </c>
      <c r="Y1" s="3" t="str">
        <f t="shared" si="1"/>
        <v>LUNES</v>
      </c>
      <c r="Z1" s="3" t="str">
        <f t="shared" si="1"/>
        <v>LUNES</v>
      </c>
    </row>
    <row r="2" ht="14.25" customHeight="1">
      <c r="A2" s="56"/>
      <c r="B2" s="56"/>
      <c r="C2" s="5">
        <v>46020.0</v>
      </c>
      <c r="D2" s="6">
        <f t="shared" ref="D2:Z2" si="2">+C2+7</f>
        <v>46027</v>
      </c>
      <c r="E2" s="58">
        <f t="shared" si="2"/>
        <v>46034</v>
      </c>
      <c r="F2" s="58">
        <f t="shared" si="2"/>
        <v>46041</v>
      </c>
      <c r="G2" s="58">
        <f t="shared" si="2"/>
        <v>46048</v>
      </c>
      <c r="H2" s="58">
        <f t="shared" si="2"/>
        <v>46055</v>
      </c>
      <c r="I2" s="58">
        <f t="shared" si="2"/>
        <v>46062</v>
      </c>
      <c r="J2" s="58">
        <f t="shared" si="2"/>
        <v>46069</v>
      </c>
      <c r="K2" s="58">
        <f t="shared" si="2"/>
        <v>46076</v>
      </c>
      <c r="L2" s="58">
        <f t="shared" si="2"/>
        <v>46083</v>
      </c>
      <c r="M2" s="58">
        <f t="shared" si="2"/>
        <v>46090</v>
      </c>
      <c r="N2" s="58">
        <f t="shared" si="2"/>
        <v>46097</v>
      </c>
      <c r="O2" s="58">
        <f t="shared" si="2"/>
        <v>46104</v>
      </c>
      <c r="P2" s="58">
        <f t="shared" si="2"/>
        <v>46111</v>
      </c>
      <c r="Q2" s="58">
        <f t="shared" si="2"/>
        <v>46118</v>
      </c>
      <c r="R2" s="58">
        <f t="shared" si="2"/>
        <v>46125</v>
      </c>
      <c r="S2" s="58">
        <f t="shared" si="2"/>
        <v>46132</v>
      </c>
      <c r="T2" s="58">
        <f t="shared" si="2"/>
        <v>46139</v>
      </c>
      <c r="U2" s="58">
        <f t="shared" si="2"/>
        <v>46146</v>
      </c>
      <c r="V2" s="58">
        <f t="shared" si="2"/>
        <v>46153</v>
      </c>
      <c r="W2" s="58">
        <f t="shared" si="2"/>
        <v>46160</v>
      </c>
      <c r="X2" s="58">
        <f t="shared" si="2"/>
        <v>46167</v>
      </c>
      <c r="Y2" s="58">
        <f t="shared" si="2"/>
        <v>46174</v>
      </c>
      <c r="Z2" s="58">
        <f t="shared" si="2"/>
        <v>46181</v>
      </c>
    </row>
    <row r="3" ht="14.2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4.25" customHeight="1">
      <c r="A4" s="64"/>
      <c r="B4" s="65" t="s">
        <v>1</v>
      </c>
      <c r="C4" s="107">
        <v>0.0</v>
      </c>
      <c r="D4" s="108">
        <f t="shared" ref="D4:Z4" si="3">+C26</f>
        <v>0</v>
      </c>
      <c r="E4" s="108">
        <f t="shared" si="3"/>
        <v>0</v>
      </c>
      <c r="F4" s="108">
        <f t="shared" si="3"/>
        <v>0</v>
      </c>
      <c r="G4" s="108">
        <f t="shared" si="3"/>
        <v>0</v>
      </c>
      <c r="H4" s="108">
        <f t="shared" si="3"/>
        <v>0</v>
      </c>
      <c r="I4" s="108">
        <f t="shared" si="3"/>
        <v>0</v>
      </c>
      <c r="J4" s="108">
        <f t="shared" si="3"/>
        <v>0</v>
      </c>
      <c r="K4" s="108">
        <f t="shared" si="3"/>
        <v>0</v>
      </c>
      <c r="L4" s="108">
        <f t="shared" si="3"/>
        <v>0</v>
      </c>
      <c r="M4" s="108">
        <f t="shared" si="3"/>
        <v>0</v>
      </c>
      <c r="N4" s="108">
        <f t="shared" si="3"/>
        <v>0</v>
      </c>
      <c r="O4" s="108">
        <f t="shared" si="3"/>
        <v>0</v>
      </c>
      <c r="P4" s="108">
        <f t="shared" si="3"/>
        <v>0</v>
      </c>
      <c r="Q4" s="108">
        <f t="shared" si="3"/>
        <v>0</v>
      </c>
      <c r="R4" s="108">
        <f t="shared" si="3"/>
        <v>0</v>
      </c>
      <c r="S4" s="108">
        <f t="shared" si="3"/>
        <v>0</v>
      </c>
      <c r="T4" s="108">
        <f t="shared" si="3"/>
        <v>0</v>
      </c>
      <c r="U4" s="108">
        <f t="shared" si="3"/>
        <v>0</v>
      </c>
      <c r="V4" s="108">
        <f t="shared" si="3"/>
        <v>0</v>
      </c>
      <c r="W4" s="108">
        <f t="shared" si="3"/>
        <v>0</v>
      </c>
      <c r="X4" s="108">
        <f t="shared" si="3"/>
        <v>0</v>
      </c>
      <c r="Y4" s="108">
        <f t="shared" si="3"/>
        <v>0</v>
      </c>
      <c r="Z4" s="108">
        <f t="shared" si="3"/>
        <v>0</v>
      </c>
    </row>
    <row r="5" ht="14.25" customHeight="1">
      <c r="A5" s="60"/>
      <c r="B5" s="72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4.25" customHeight="1">
      <c r="A6" s="68" t="s">
        <v>2</v>
      </c>
      <c r="B6" s="69" t="s">
        <v>3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4.25" customHeight="1" outlineLevel="1">
      <c r="A7" s="20"/>
      <c r="B7" s="72" t="s">
        <v>7</v>
      </c>
      <c r="C7" s="111">
        <v>0.0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111">
        <v>0.0</v>
      </c>
      <c r="L7" s="111">
        <v>0.0</v>
      </c>
      <c r="M7" s="111">
        <v>0.0</v>
      </c>
      <c r="N7" s="111">
        <v>0.0</v>
      </c>
      <c r="O7" s="111">
        <v>0.0</v>
      </c>
      <c r="P7" s="111">
        <v>0.0</v>
      </c>
      <c r="Q7" s="111">
        <v>0.0</v>
      </c>
      <c r="R7" s="111">
        <v>0.0</v>
      </c>
      <c r="S7" s="111">
        <v>0.0</v>
      </c>
      <c r="T7" s="111">
        <v>0.0</v>
      </c>
      <c r="U7" s="111">
        <v>0.0</v>
      </c>
      <c r="V7" s="111">
        <v>0.0</v>
      </c>
      <c r="W7" s="111">
        <v>0.0</v>
      </c>
      <c r="X7" s="111">
        <v>0.0</v>
      </c>
      <c r="Y7" s="111">
        <v>0.0</v>
      </c>
      <c r="Z7" s="111">
        <v>0.0</v>
      </c>
    </row>
    <row r="8" ht="14.25" customHeight="1" outlineLevel="1">
      <c r="A8" s="20"/>
      <c r="B8" s="72" t="s">
        <v>8</v>
      </c>
      <c r="C8" s="111">
        <v>0.0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111">
        <v>0.0</v>
      </c>
      <c r="N8" s="111">
        <v>0.0</v>
      </c>
      <c r="O8" s="111">
        <v>0.0</v>
      </c>
      <c r="P8" s="111">
        <v>0.0</v>
      </c>
      <c r="Q8" s="111">
        <v>0.0</v>
      </c>
      <c r="R8" s="111">
        <v>0.0</v>
      </c>
      <c r="S8" s="111">
        <v>0.0</v>
      </c>
      <c r="T8" s="111">
        <v>0.0</v>
      </c>
      <c r="U8" s="111">
        <v>0.0</v>
      </c>
      <c r="V8" s="111">
        <v>0.0</v>
      </c>
      <c r="W8" s="111">
        <v>0.0</v>
      </c>
      <c r="X8" s="111">
        <v>0.0</v>
      </c>
      <c r="Y8" s="111">
        <v>0.0</v>
      </c>
      <c r="Z8" s="111">
        <v>0.0</v>
      </c>
    </row>
    <row r="9" ht="14.25" customHeight="1" outlineLevel="1">
      <c r="A9" s="20"/>
      <c r="B9" s="72" t="s">
        <v>107</v>
      </c>
      <c r="C9" s="111">
        <v>0.0</v>
      </c>
      <c r="D9" s="11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111">
        <v>0.0</v>
      </c>
      <c r="N9" s="111">
        <v>0.0</v>
      </c>
      <c r="O9" s="111">
        <v>0.0</v>
      </c>
      <c r="P9" s="111">
        <v>0.0</v>
      </c>
      <c r="Q9" s="111">
        <v>0.0</v>
      </c>
      <c r="R9" s="111">
        <v>0.0</v>
      </c>
      <c r="S9" s="111">
        <v>0.0</v>
      </c>
      <c r="T9" s="111">
        <v>0.0</v>
      </c>
      <c r="U9" s="111">
        <v>0.0</v>
      </c>
      <c r="V9" s="111">
        <v>0.0</v>
      </c>
      <c r="W9" s="111">
        <v>0.0</v>
      </c>
      <c r="X9" s="111">
        <v>0.0</v>
      </c>
      <c r="Y9" s="111">
        <v>0.0</v>
      </c>
      <c r="Z9" s="111">
        <v>0.0</v>
      </c>
    </row>
    <row r="10" ht="14.25" customHeight="1" outlineLevel="1">
      <c r="A10" s="20"/>
      <c r="B10" s="72" t="s">
        <v>108</v>
      </c>
      <c r="C10" s="111">
        <v>0.0</v>
      </c>
      <c r="D10" s="111">
        <v>0.0</v>
      </c>
      <c r="E10" s="111">
        <v>0.0</v>
      </c>
      <c r="F10" s="111">
        <v>0.0</v>
      </c>
      <c r="G10" s="111">
        <v>0.0</v>
      </c>
      <c r="H10" s="111">
        <v>0.0</v>
      </c>
      <c r="I10" s="111">
        <v>0.0</v>
      </c>
      <c r="J10" s="111">
        <v>0.0</v>
      </c>
      <c r="K10" s="111">
        <v>0.0</v>
      </c>
      <c r="L10" s="111">
        <v>0.0</v>
      </c>
      <c r="M10" s="111">
        <v>0.0</v>
      </c>
      <c r="N10" s="111">
        <v>0.0</v>
      </c>
      <c r="O10" s="111">
        <v>0.0</v>
      </c>
      <c r="P10" s="111">
        <v>0.0</v>
      </c>
      <c r="Q10" s="111">
        <v>0.0</v>
      </c>
      <c r="R10" s="111">
        <v>0.0</v>
      </c>
      <c r="S10" s="111">
        <v>0.0</v>
      </c>
      <c r="T10" s="111">
        <v>0.0</v>
      </c>
      <c r="U10" s="111">
        <v>0.0</v>
      </c>
      <c r="V10" s="111">
        <v>0.0</v>
      </c>
      <c r="W10" s="111">
        <v>0.0</v>
      </c>
      <c r="X10" s="111">
        <v>0.0</v>
      </c>
      <c r="Y10" s="111">
        <v>0.0</v>
      </c>
      <c r="Z10" s="111">
        <v>0.0</v>
      </c>
    </row>
    <row r="11" ht="14.25" customHeight="1">
      <c r="A11" s="23"/>
      <c r="B11" s="75" t="s">
        <v>24</v>
      </c>
      <c r="C11" s="112">
        <f t="shared" ref="C11:Z11" si="4">SUM(C7:C10)</f>
        <v>0</v>
      </c>
      <c r="D11" s="112">
        <f t="shared" si="4"/>
        <v>0</v>
      </c>
      <c r="E11" s="112">
        <f t="shared" si="4"/>
        <v>0</v>
      </c>
      <c r="F11" s="112">
        <f t="shared" si="4"/>
        <v>0</v>
      </c>
      <c r="G11" s="112">
        <f t="shared" si="4"/>
        <v>0</v>
      </c>
      <c r="H11" s="112">
        <f t="shared" si="4"/>
        <v>0</v>
      </c>
      <c r="I11" s="112">
        <f t="shared" si="4"/>
        <v>0</v>
      </c>
      <c r="J11" s="112">
        <f t="shared" si="4"/>
        <v>0</v>
      </c>
      <c r="K11" s="112">
        <f t="shared" si="4"/>
        <v>0</v>
      </c>
      <c r="L11" s="112">
        <f t="shared" si="4"/>
        <v>0</v>
      </c>
      <c r="M11" s="112">
        <f t="shared" si="4"/>
        <v>0</v>
      </c>
      <c r="N11" s="112">
        <f t="shared" si="4"/>
        <v>0</v>
      </c>
      <c r="O11" s="112">
        <f t="shared" si="4"/>
        <v>0</v>
      </c>
      <c r="P11" s="112">
        <f t="shared" si="4"/>
        <v>0</v>
      </c>
      <c r="Q11" s="112">
        <f t="shared" si="4"/>
        <v>0</v>
      </c>
      <c r="R11" s="112">
        <f t="shared" si="4"/>
        <v>0</v>
      </c>
      <c r="S11" s="112">
        <f t="shared" si="4"/>
        <v>0</v>
      </c>
      <c r="T11" s="112">
        <f t="shared" si="4"/>
        <v>0</v>
      </c>
      <c r="U11" s="112">
        <f t="shared" si="4"/>
        <v>0</v>
      </c>
      <c r="V11" s="112">
        <f t="shared" si="4"/>
        <v>0</v>
      </c>
      <c r="W11" s="112">
        <f t="shared" si="4"/>
        <v>0</v>
      </c>
      <c r="X11" s="112">
        <f t="shared" si="4"/>
        <v>0</v>
      </c>
      <c r="Y11" s="112">
        <f t="shared" si="4"/>
        <v>0</v>
      </c>
      <c r="Z11" s="112">
        <f t="shared" si="4"/>
        <v>0</v>
      </c>
    </row>
    <row r="12" ht="14.25" customHeight="1">
      <c r="A12" s="60"/>
      <c r="B12" s="60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ht="14.25" customHeight="1">
      <c r="A13" s="76"/>
      <c r="B13" s="69" t="s">
        <v>25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14.25" customHeight="1" outlineLevel="1">
      <c r="A14" s="114" t="s">
        <v>84</v>
      </c>
      <c r="B14" s="115" t="s">
        <v>109</v>
      </c>
      <c r="C14" s="116">
        <v>0.0</v>
      </c>
      <c r="D14" s="116">
        <v>0.0</v>
      </c>
      <c r="E14" s="116">
        <v>0.0</v>
      </c>
      <c r="F14" s="116">
        <v>0.0</v>
      </c>
      <c r="G14" s="116">
        <v>0.0</v>
      </c>
      <c r="H14" s="116">
        <v>0.0</v>
      </c>
      <c r="I14" s="116">
        <v>0.0</v>
      </c>
      <c r="J14" s="116">
        <v>0.0</v>
      </c>
      <c r="K14" s="116">
        <v>0.0</v>
      </c>
      <c r="L14" s="116">
        <v>0.0</v>
      </c>
      <c r="M14" s="116">
        <v>0.0</v>
      </c>
      <c r="N14" s="116">
        <v>0.0</v>
      </c>
      <c r="O14" s="116">
        <v>0.0</v>
      </c>
      <c r="P14" s="116">
        <v>0.0</v>
      </c>
      <c r="Q14" s="116">
        <v>0.0</v>
      </c>
      <c r="R14" s="116">
        <v>0.0</v>
      </c>
      <c r="S14" s="116">
        <v>0.0</v>
      </c>
      <c r="T14" s="116">
        <v>0.0</v>
      </c>
      <c r="U14" s="116">
        <v>0.0</v>
      </c>
      <c r="V14" s="116">
        <v>0.0</v>
      </c>
      <c r="W14" s="116">
        <v>0.0</v>
      </c>
      <c r="X14" s="116">
        <v>0.0</v>
      </c>
      <c r="Y14" s="116">
        <v>0.0</v>
      </c>
      <c r="Z14" s="116">
        <v>0.0</v>
      </c>
    </row>
    <row r="15" ht="14.25" customHeight="1" outlineLevel="1">
      <c r="A15" s="20"/>
      <c r="B15" s="72" t="s">
        <v>110</v>
      </c>
      <c r="C15" s="111">
        <v>0.0</v>
      </c>
      <c r="D15" s="111">
        <v>0.0</v>
      </c>
      <c r="E15" s="111">
        <v>0.0</v>
      </c>
      <c r="F15" s="111">
        <v>0.0</v>
      </c>
      <c r="G15" s="111">
        <v>0.0</v>
      </c>
      <c r="H15" s="111">
        <v>0.0</v>
      </c>
      <c r="I15" s="111">
        <v>0.0</v>
      </c>
      <c r="J15" s="111">
        <v>0.0</v>
      </c>
      <c r="K15" s="111">
        <v>0.0</v>
      </c>
      <c r="L15" s="111">
        <v>0.0</v>
      </c>
      <c r="M15" s="111">
        <v>0.0</v>
      </c>
      <c r="N15" s="111">
        <v>0.0</v>
      </c>
      <c r="O15" s="111">
        <v>0.0</v>
      </c>
      <c r="P15" s="111">
        <v>0.0</v>
      </c>
      <c r="Q15" s="111">
        <v>0.0</v>
      </c>
      <c r="R15" s="111">
        <v>0.0</v>
      </c>
      <c r="S15" s="111">
        <v>0.0</v>
      </c>
      <c r="T15" s="111">
        <v>0.0</v>
      </c>
      <c r="U15" s="111">
        <v>0.0</v>
      </c>
      <c r="V15" s="111">
        <v>0.0</v>
      </c>
      <c r="W15" s="111">
        <v>0.0</v>
      </c>
      <c r="X15" s="111">
        <v>0.0</v>
      </c>
      <c r="Y15" s="111">
        <v>0.0</v>
      </c>
      <c r="Z15" s="111">
        <v>0.0</v>
      </c>
    </row>
    <row r="16" ht="14.25" customHeight="1" outlineLevel="1">
      <c r="A16" s="20"/>
      <c r="B16" s="72" t="s">
        <v>111</v>
      </c>
      <c r="C16" s="111">
        <v>0.0</v>
      </c>
      <c r="D16" s="111">
        <v>0.0</v>
      </c>
      <c r="E16" s="111">
        <v>0.0</v>
      </c>
      <c r="F16" s="111">
        <v>0.0</v>
      </c>
      <c r="G16" s="111">
        <v>0.0</v>
      </c>
      <c r="H16" s="111">
        <v>0.0</v>
      </c>
      <c r="I16" s="111">
        <v>0.0</v>
      </c>
      <c r="J16" s="111">
        <v>0.0</v>
      </c>
      <c r="K16" s="111">
        <v>0.0</v>
      </c>
      <c r="L16" s="111">
        <v>0.0</v>
      </c>
      <c r="M16" s="111">
        <v>0.0</v>
      </c>
      <c r="N16" s="111">
        <v>0.0</v>
      </c>
      <c r="O16" s="111">
        <v>0.0</v>
      </c>
      <c r="P16" s="111">
        <v>0.0</v>
      </c>
      <c r="Q16" s="111">
        <v>0.0</v>
      </c>
      <c r="R16" s="111">
        <v>0.0</v>
      </c>
      <c r="S16" s="111">
        <v>0.0</v>
      </c>
      <c r="T16" s="111">
        <v>0.0</v>
      </c>
      <c r="U16" s="111">
        <v>0.0</v>
      </c>
      <c r="V16" s="111">
        <v>0.0</v>
      </c>
      <c r="W16" s="111">
        <v>0.0</v>
      </c>
      <c r="X16" s="111">
        <v>0.0</v>
      </c>
      <c r="Y16" s="111">
        <v>0.0</v>
      </c>
      <c r="Z16" s="111">
        <v>0.0</v>
      </c>
    </row>
    <row r="17" ht="14.25" customHeight="1" outlineLevel="1">
      <c r="A17" s="20"/>
      <c r="B17" s="86" t="s">
        <v>112</v>
      </c>
      <c r="C17" s="111">
        <v>0.0</v>
      </c>
      <c r="D17" s="111">
        <v>0.0</v>
      </c>
      <c r="E17" s="111">
        <v>0.0</v>
      </c>
      <c r="F17" s="111">
        <v>0.0</v>
      </c>
      <c r="G17" s="111">
        <v>0.0</v>
      </c>
      <c r="H17" s="111">
        <v>0.0</v>
      </c>
      <c r="I17" s="111">
        <v>0.0</v>
      </c>
      <c r="J17" s="111">
        <v>0.0</v>
      </c>
      <c r="K17" s="111">
        <v>0.0</v>
      </c>
      <c r="L17" s="111">
        <v>0.0</v>
      </c>
      <c r="M17" s="111">
        <v>0.0</v>
      </c>
      <c r="N17" s="111">
        <v>0.0</v>
      </c>
      <c r="O17" s="111">
        <v>0.0</v>
      </c>
      <c r="P17" s="111">
        <v>0.0</v>
      </c>
      <c r="Q17" s="111">
        <v>0.0</v>
      </c>
      <c r="R17" s="111">
        <v>0.0</v>
      </c>
      <c r="S17" s="111">
        <v>0.0</v>
      </c>
      <c r="T17" s="111">
        <v>0.0</v>
      </c>
      <c r="U17" s="111">
        <v>0.0</v>
      </c>
      <c r="V17" s="111">
        <v>0.0</v>
      </c>
      <c r="W17" s="111">
        <v>0.0</v>
      </c>
      <c r="X17" s="111">
        <v>0.0</v>
      </c>
      <c r="Y17" s="111">
        <v>0.0</v>
      </c>
      <c r="Z17" s="111">
        <v>0.0</v>
      </c>
    </row>
    <row r="18" ht="14.25" customHeight="1" outlineLevel="1">
      <c r="A18" s="20"/>
      <c r="B18" s="86" t="s">
        <v>113</v>
      </c>
      <c r="C18" s="111">
        <v>0.0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111">
        <v>0.0</v>
      </c>
      <c r="L18" s="111">
        <v>0.0</v>
      </c>
      <c r="M18" s="111">
        <v>0.0</v>
      </c>
      <c r="N18" s="111">
        <v>0.0</v>
      </c>
      <c r="O18" s="111">
        <v>0.0</v>
      </c>
      <c r="P18" s="111">
        <v>0.0</v>
      </c>
      <c r="Q18" s="111">
        <v>0.0</v>
      </c>
      <c r="R18" s="111">
        <v>0.0</v>
      </c>
      <c r="S18" s="111">
        <v>0.0</v>
      </c>
      <c r="T18" s="111">
        <v>0.0</v>
      </c>
      <c r="U18" s="111">
        <v>0.0</v>
      </c>
      <c r="V18" s="111">
        <v>0.0</v>
      </c>
      <c r="W18" s="111">
        <v>0.0</v>
      </c>
      <c r="X18" s="111">
        <v>0.0</v>
      </c>
      <c r="Y18" s="111">
        <v>0.0</v>
      </c>
      <c r="Z18" s="111">
        <v>0.0</v>
      </c>
    </row>
    <row r="19" ht="14.25" customHeight="1" outlineLevel="1">
      <c r="A19" s="20"/>
      <c r="B19" s="86" t="s">
        <v>114</v>
      </c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ht="14.25" customHeight="1" outlineLevel="1">
      <c r="A20" s="20"/>
      <c r="B20" s="86" t="s">
        <v>115</v>
      </c>
      <c r="C20" s="117">
        <v>0.0</v>
      </c>
      <c r="D20" s="117">
        <v>0.0</v>
      </c>
      <c r="E20" s="117">
        <v>0.0</v>
      </c>
      <c r="F20" s="117">
        <v>0.0</v>
      </c>
      <c r="G20" s="117">
        <v>0.0</v>
      </c>
      <c r="H20" s="117">
        <v>0.0</v>
      </c>
      <c r="I20" s="117">
        <v>0.0</v>
      </c>
      <c r="J20" s="117">
        <v>0.0</v>
      </c>
      <c r="K20" s="117">
        <v>0.0</v>
      </c>
      <c r="L20" s="117">
        <v>0.0</v>
      </c>
      <c r="M20" s="117">
        <v>0.0</v>
      </c>
      <c r="N20" s="117">
        <v>0.0</v>
      </c>
      <c r="O20" s="117">
        <v>0.0</v>
      </c>
      <c r="P20" s="117">
        <v>0.0</v>
      </c>
      <c r="Q20" s="117">
        <v>0.0</v>
      </c>
      <c r="R20" s="117">
        <v>0.0</v>
      </c>
      <c r="S20" s="117">
        <v>0.0</v>
      </c>
      <c r="T20" s="117">
        <v>0.0</v>
      </c>
      <c r="U20" s="117">
        <v>0.0</v>
      </c>
      <c r="V20" s="117">
        <v>0.0</v>
      </c>
      <c r="W20" s="117">
        <v>0.0</v>
      </c>
      <c r="X20" s="117">
        <v>0.0</v>
      </c>
      <c r="Y20" s="117">
        <v>0.0</v>
      </c>
      <c r="Z20" s="117">
        <v>0.0</v>
      </c>
    </row>
    <row r="21" ht="14.25" customHeight="1" outlineLevel="1">
      <c r="A21" s="32"/>
      <c r="B21" s="96" t="s">
        <v>116</v>
      </c>
      <c r="C21" s="111">
        <v>0.0</v>
      </c>
      <c r="D21" s="111">
        <v>0.0</v>
      </c>
      <c r="E21" s="111">
        <v>0.0</v>
      </c>
      <c r="F21" s="111">
        <v>0.0</v>
      </c>
      <c r="G21" s="111">
        <v>0.0</v>
      </c>
      <c r="H21" s="111">
        <v>0.0</v>
      </c>
      <c r="I21" s="111">
        <v>0.0</v>
      </c>
      <c r="J21" s="111">
        <v>0.0</v>
      </c>
      <c r="K21" s="111">
        <v>0.0</v>
      </c>
      <c r="L21" s="111">
        <v>0.0</v>
      </c>
      <c r="M21" s="111">
        <v>0.0</v>
      </c>
      <c r="N21" s="111">
        <v>0.0</v>
      </c>
      <c r="O21" s="111">
        <v>0.0</v>
      </c>
      <c r="P21" s="111">
        <v>0.0</v>
      </c>
      <c r="Q21" s="111">
        <v>0.0</v>
      </c>
      <c r="R21" s="111">
        <v>0.0</v>
      </c>
      <c r="S21" s="111">
        <v>0.0</v>
      </c>
      <c r="T21" s="111">
        <v>0.0</v>
      </c>
      <c r="U21" s="111">
        <v>0.0</v>
      </c>
      <c r="V21" s="111">
        <v>0.0</v>
      </c>
      <c r="W21" s="111">
        <v>0.0</v>
      </c>
      <c r="X21" s="111">
        <v>0.0</v>
      </c>
      <c r="Y21" s="111">
        <v>0.0</v>
      </c>
      <c r="Z21" s="111">
        <v>0.0</v>
      </c>
    </row>
    <row r="22" ht="14.25" customHeight="1" outlineLevel="1">
      <c r="A22" s="118"/>
      <c r="B22" s="119"/>
      <c r="C22" s="120">
        <v>0.0</v>
      </c>
      <c r="D22" s="120">
        <v>0.0</v>
      </c>
      <c r="E22" s="120">
        <v>0.0</v>
      </c>
      <c r="F22" s="120">
        <v>0.0</v>
      </c>
      <c r="G22" s="120">
        <v>0.0</v>
      </c>
      <c r="H22" s="120">
        <v>0.0</v>
      </c>
      <c r="I22" s="120">
        <v>0.0</v>
      </c>
      <c r="J22" s="120">
        <v>0.0</v>
      </c>
      <c r="K22" s="120">
        <v>0.0</v>
      </c>
      <c r="L22" s="120">
        <v>0.0</v>
      </c>
      <c r="M22" s="120">
        <v>0.0</v>
      </c>
      <c r="N22" s="120">
        <v>0.0</v>
      </c>
      <c r="O22" s="120">
        <v>0.0</v>
      </c>
      <c r="P22" s="120">
        <v>0.0</v>
      </c>
      <c r="Q22" s="120">
        <v>0.0</v>
      </c>
      <c r="R22" s="120">
        <v>0.0</v>
      </c>
      <c r="S22" s="120">
        <v>0.0</v>
      </c>
      <c r="T22" s="120">
        <v>0.0</v>
      </c>
      <c r="U22" s="120">
        <v>0.0</v>
      </c>
      <c r="V22" s="120">
        <v>0.0</v>
      </c>
      <c r="W22" s="120">
        <v>0.0</v>
      </c>
      <c r="X22" s="120">
        <v>0.0</v>
      </c>
      <c r="Y22" s="120">
        <v>0.0</v>
      </c>
      <c r="Z22" s="120">
        <v>0.0</v>
      </c>
    </row>
    <row r="23" ht="14.25" customHeight="1" outlineLevel="1">
      <c r="A23" s="118"/>
      <c r="B23" s="119" t="s">
        <v>117</v>
      </c>
      <c r="C23" s="120">
        <v>0.0</v>
      </c>
      <c r="D23" s="120">
        <v>0.0</v>
      </c>
      <c r="E23" s="120">
        <v>0.0</v>
      </c>
      <c r="F23" s="120">
        <v>0.0</v>
      </c>
      <c r="G23" s="120">
        <v>0.0</v>
      </c>
      <c r="H23" s="120">
        <v>0.0</v>
      </c>
      <c r="I23" s="120">
        <v>0.0</v>
      </c>
      <c r="J23" s="120">
        <v>0.0</v>
      </c>
      <c r="K23" s="120">
        <v>0.0</v>
      </c>
      <c r="L23" s="120">
        <v>0.0</v>
      </c>
      <c r="M23" s="120">
        <v>0.0</v>
      </c>
      <c r="N23" s="120">
        <v>0.0</v>
      </c>
      <c r="O23" s="120">
        <v>0.0</v>
      </c>
      <c r="P23" s="120">
        <v>0.0</v>
      </c>
      <c r="Q23" s="120">
        <v>0.0</v>
      </c>
      <c r="R23" s="120">
        <v>0.0</v>
      </c>
      <c r="S23" s="120">
        <v>0.0</v>
      </c>
      <c r="T23" s="120">
        <v>0.0</v>
      </c>
      <c r="U23" s="120">
        <v>0.0</v>
      </c>
      <c r="V23" s="120">
        <v>0.0</v>
      </c>
      <c r="W23" s="120">
        <v>0.0</v>
      </c>
      <c r="X23" s="120">
        <v>0.0</v>
      </c>
      <c r="Y23" s="120">
        <v>0.0</v>
      </c>
      <c r="Z23" s="120">
        <v>0.0</v>
      </c>
    </row>
    <row r="24" ht="14.25" customHeight="1">
      <c r="A24" s="97"/>
      <c r="B24" s="75" t="s">
        <v>58</v>
      </c>
      <c r="C24" s="112">
        <f t="shared" ref="C24:Z24" si="5">SUM(C13:C21)</f>
        <v>0</v>
      </c>
      <c r="D24" s="112">
        <f t="shared" si="5"/>
        <v>0</v>
      </c>
      <c r="E24" s="112">
        <f t="shared" si="5"/>
        <v>0</v>
      </c>
      <c r="F24" s="112">
        <f t="shared" si="5"/>
        <v>0</v>
      </c>
      <c r="G24" s="112">
        <f t="shared" si="5"/>
        <v>0</v>
      </c>
      <c r="H24" s="112">
        <f t="shared" si="5"/>
        <v>0</v>
      </c>
      <c r="I24" s="112">
        <f t="shared" si="5"/>
        <v>0</v>
      </c>
      <c r="J24" s="112">
        <f t="shared" si="5"/>
        <v>0</v>
      </c>
      <c r="K24" s="112">
        <f t="shared" si="5"/>
        <v>0</v>
      </c>
      <c r="L24" s="112">
        <f t="shared" si="5"/>
        <v>0</v>
      </c>
      <c r="M24" s="112">
        <f t="shared" si="5"/>
        <v>0</v>
      </c>
      <c r="N24" s="112">
        <f t="shared" si="5"/>
        <v>0</v>
      </c>
      <c r="O24" s="112">
        <f t="shared" si="5"/>
        <v>0</v>
      </c>
      <c r="P24" s="112">
        <f t="shared" si="5"/>
        <v>0</v>
      </c>
      <c r="Q24" s="112">
        <f t="shared" si="5"/>
        <v>0</v>
      </c>
      <c r="R24" s="112">
        <f t="shared" si="5"/>
        <v>0</v>
      </c>
      <c r="S24" s="112">
        <f t="shared" si="5"/>
        <v>0</v>
      </c>
      <c r="T24" s="112">
        <f t="shared" si="5"/>
        <v>0</v>
      </c>
      <c r="U24" s="112">
        <f t="shared" si="5"/>
        <v>0</v>
      </c>
      <c r="V24" s="112">
        <f t="shared" si="5"/>
        <v>0</v>
      </c>
      <c r="W24" s="112">
        <f t="shared" si="5"/>
        <v>0</v>
      </c>
      <c r="X24" s="112">
        <f t="shared" si="5"/>
        <v>0</v>
      </c>
      <c r="Y24" s="112">
        <f t="shared" si="5"/>
        <v>0</v>
      </c>
      <c r="Z24" s="112">
        <f t="shared" si="5"/>
        <v>0</v>
      </c>
    </row>
    <row r="25" ht="14.25" customHeight="1">
      <c r="A25" s="60"/>
      <c r="B25" s="60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4.25" customHeight="1">
      <c r="A26" s="64"/>
      <c r="B26" s="65" t="s">
        <v>59</v>
      </c>
      <c r="C26" s="108">
        <f t="shared" ref="C26:Z26" si="6">+C4+C11-C24</f>
        <v>0</v>
      </c>
      <c r="D26" s="108">
        <f t="shared" si="6"/>
        <v>0</v>
      </c>
      <c r="E26" s="108">
        <f t="shared" si="6"/>
        <v>0</v>
      </c>
      <c r="F26" s="108">
        <f t="shared" si="6"/>
        <v>0</v>
      </c>
      <c r="G26" s="108">
        <f t="shared" si="6"/>
        <v>0</v>
      </c>
      <c r="H26" s="108">
        <f t="shared" si="6"/>
        <v>0</v>
      </c>
      <c r="I26" s="108">
        <f t="shared" si="6"/>
        <v>0</v>
      </c>
      <c r="J26" s="108">
        <f t="shared" si="6"/>
        <v>0</v>
      </c>
      <c r="K26" s="108">
        <f t="shared" si="6"/>
        <v>0</v>
      </c>
      <c r="L26" s="108">
        <f t="shared" si="6"/>
        <v>0</v>
      </c>
      <c r="M26" s="108">
        <f t="shared" si="6"/>
        <v>0</v>
      </c>
      <c r="N26" s="108">
        <f t="shared" si="6"/>
        <v>0</v>
      </c>
      <c r="O26" s="108">
        <f t="shared" si="6"/>
        <v>0</v>
      </c>
      <c r="P26" s="108">
        <f t="shared" si="6"/>
        <v>0</v>
      </c>
      <c r="Q26" s="108">
        <f t="shared" si="6"/>
        <v>0</v>
      </c>
      <c r="R26" s="108">
        <f t="shared" si="6"/>
        <v>0</v>
      </c>
      <c r="S26" s="108">
        <f t="shared" si="6"/>
        <v>0</v>
      </c>
      <c r="T26" s="108">
        <f t="shared" si="6"/>
        <v>0</v>
      </c>
      <c r="U26" s="108">
        <f t="shared" si="6"/>
        <v>0</v>
      </c>
      <c r="V26" s="108">
        <f t="shared" si="6"/>
        <v>0</v>
      </c>
      <c r="W26" s="108">
        <f t="shared" si="6"/>
        <v>0</v>
      </c>
      <c r="X26" s="108">
        <f t="shared" si="6"/>
        <v>0</v>
      </c>
      <c r="Y26" s="108">
        <f t="shared" si="6"/>
        <v>0</v>
      </c>
      <c r="Z26" s="108">
        <f t="shared" si="6"/>
        <v>0</v>
      </c>
    </row>
    <row r="27" ht="14.25" customHeight="1">
      <c r="A27" s="60"/>
      <c r="B27" s="60" t="s">
        <v>118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4.25" customHeight="1">
      <c r="A28" s="60"/>
      <c r="B28" s="60" t="s">
        <v>119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4.25" customHeight="1">
      <c r="A29" s="60"/>
      <c r="B29" s="60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4.25" customHeight="1">
      <c r="A30" s="60"/>
      <c r="B30" s="60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4.25" customHeight="1">
      <c r="A31" s="60"/>
      <c r="B31" s="60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49" t="s">
        <v>62</v>
      </c>
      <c r="O31" s="48"/>
      <c r="P31" s="49" t="s">
        <v>120</v>
      </c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4.25" customHeight="1">
      <c r="A32" s="60"/>
      <c r="B32" s="60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4.25" customHeight="1">
      <c r="A33" s="60"/>
      <c r="B33" s="60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4.25" customHeight="1">
      <c r="A34" s="60"/>
      <c r="B34" s="60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4.25" customHeight="1">
      <c r="A35" s="60"/>
      <c r="B35" s="60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4.25" customHeight="1">
      <c r="A36" s="60"/>
      <c r="B36" s="60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4.25" customHeight="1">
      <c r="A37" s="60"/>
      <c r="B37" s="60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4.25" customHeight="1">
      <c r="A38" s="60"/>
      <c r="B38" s="60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4.25" customHeight="1">
      <c r="A39" s="60"/>
      <c r="B39" s="60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4.25" customHeight="1">
      <c r="A40" s="60"/>
      <c r="B40" s="60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4.25" customHeight="1">
      <c r="A41" s="60"/>
      <c r="B41" s="60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4.25" customHeight="1">
      <c r="A42" s="60"/>
      <c r="B42" s="60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4.25" customHeight="1">
      <c r="A43" s="60"/>
      <c r="B43" s="60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4.25" customHeight="1">
      <c r="A44" s="60"/>
      <c r="B44" s="60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4.25" customHeight="1">
      <c r="A45" s="60"/>
      <c r="B45" s="60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4.25" customHeight="1">
      <c r="A46" s="60"/>
      <c r="B46" s="60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4.25" customHeight="1">
      <c r="A47" s="60"/>
      <c r="B47" s="60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4.25" customHeight="1">
      <c r="A48" s="60"/>
      <c r="B48" s="60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4.25" customHeight="1">
      <c r="A49" s="60"/>
      <c r="B49" s="60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4.25" customHeight="1">
      <c r="A50" s="60"/>
      <c r="B50" s="60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4.25" customHeight="1">
      <c r="A51" s="60"/>
      <c r="B51" s="60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4.25" customHeight="1">
      <c r="A52" s="60"/>
      <c r="B52" s="60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4.25" customHeight="1">
      <c r="A53" s="60"/>
      <c r="B53" s="60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4.25" customHeight="1">
      <c r="A54" s="60"/>
      <c r="B54" s="60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4.25" customHeight="1">
      <c r="A55" s="60"/>
      <c r="B55" s="60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4.25" customHeight="1">
      <c r="A56" s="60"/>
      <c r="B56" s="60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4.25" customHeight="1">
      <c r="A57" s="60"/>
      <c r="B57" s="60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4.25" customHeight="1">
      <c r="A58" s="60"/>
      <c r="B58" s="60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4.25" customHeight="1">
      <c r="A59" s="60"/>
      <c r="B59" s="60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4.25" customHeight="1">
      <c r="A60" s="60"/>
      <c r="B60" s="60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4.25" customHeight="1">
      <c r="A61" s="60"/>
      <c r="B61" s="60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4.25" customHeight="1">
      <c r="A62" s="60"/>
      <c r="B62" s="60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4.25" customHeight="1">
      <c r="A63" s="60"/>
      <c r="B63" s="60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4.25" customHeight="1">
      <c r="A64" s="60"/>
      <c r="B64" s="60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4.25" customHeight="1">
      <c r="A65" s="60"/>
      <c r="B65" s="60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4.25" customHeight="1">
      <c r="A66" s="60"/>
      <c r="B66" s="60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4.25" customHeight="1">
      <c r="A67" s="60"/>
      <c r="B67" s="60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4.25" customHeight="1">
      <c r="A68" s="60"/>
      <c r="B68" s="60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4.25" customHeight="1">
      <c r="A69" s="60"/>
      <c r="B69" s="60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4.25" customHeight="1">
      <c r="A70" s="60"/>
      <c r="B70" s="60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4.25" customHeight="1">
      <c r="A71" s="60"/>
      <c r="B71" s="60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4.25" customHeight="1">
      <c r="A72" s="60"/>
      <c r="B72" s="60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4.25" customHeight="1">
      <c r="A73" s="60"/>
      <c r="B73" s="60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4.25" customHeight="1">
      <c r="A74" s="60"/>
      <c r="B74" s="60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4.25" customHeight="1">
      <c r="A75" s="60"/>
      <c r="B75" s="60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4.25" customHeight="1">
      <c r="A76" s="60"/>
      <c r="B76" s="60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4.25" customHeight="1">
      <c r="A77" s="60"/>
      <c r="B77" s="60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4.25" customHeight="1">
      <c r="A78" s="60"/>
      <c r="B78" s="60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4.25" customHeight="1">
      <c r="A79" s="60"/>
      <c r="B79" s="60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4.25" customHeight="1">
      <c r="A80" s="60"/>
      <c r="B80" s="60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4.25" customHeight="1">
      <c r="A81" s="60"/>
      <c r="B81" s="60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4.25" customHeight="1">
      <c r="A82" s="60"/>
      <c r="B82" s="60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4.25" customHeight="1">
      <c r="A83" s="60"/>
      <c r="B83" s="60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4.25" customHeight="1">
      <c r="A84" s="60"/>
      <c r="B84" s="60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4.25" customHeight="1">
      <c r="A85" s="60"/>
      <c r="B85" s="60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4.25" customHeight="1">
      <c r="A86" s="60"/>
      <c r="B86" s="60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4.25" customHeight="1">
      <c r="A87" s="60"/>
      <c r="B87" s="60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4.25" customHeight="1">
      <c r="A88" s="60"/>
      <c r="B88" s="60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4.25" customHeight="1">
      <c r="A89" s="60"/>
      <c r="B89" s="60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4.25" customHeight="1">
      <c r="A90" s="60"/>
      <c r="B90" s="60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4.25" customHeight="1">
      <c r="A91" s="60"/>
      <c r="B91" s="60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4.25" customHeight="1">
      <c r="A92" s="60"/>
      <c r="B92" s="60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4.25" customHeight="1">
      <c r="A93" s="60"/>
      <c r="B93" s="60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4.25" customHeight="1">
      <c r="A94" s="60"/>
      <c r="B94" s="60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4.25" customHeight="1">
      <c r="A95" s="60"/>
      <c r="B95" s="60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4.25" customHeight="1">
      <c r="A96" s="60"/>
      <c r="B96" s="60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4.25" customHeight="1">
      <c r="A97" s="60"/>
      <c r="B97" s="60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4.25" customHeight="1">
      <c r="A98" s="60"/>
      <c r="B98" s="60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4.25" customHeight="1">
      <c r="A99" s="60"/>
      <c r="B99" s="60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4.25" customHeight="1">
      <c r="A100" s="60"/>
      <c r="B100" s="60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4.25" customHeight="1">
      <c r="A101" s="60"/>
      <c r="B101" s="60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4.25" customHeight="1">
      <c r="A102" s="60"/>
      <c r="B102" s="60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4.25" customHeight="1">
      <c r="A103" s="60"/>
      <c r="B103" s="60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4.25" customHeight="1">
      <c r="A104" s="60"/>
      <c r="B104" s="60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4.25" customHeight="1">
      <c r="A105" s="60"/>
      <c r="B105" s="60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4.25" customHeight="1">
      <c r="A106" s="60"/>
      <c r="B106" s="60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4.25" customHeight="1">
      <c r="A107" s="60"/>
      <c r="B107" s="60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4.25" customHeight="1">
      <c r="A108" s="60"/>
      <c r="B108" s="60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4.25" customHeight="1">
      <c r="A109" s="60"/>
      <c r="B109" s="60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4.25" customHeight="1">
      <c r="A110" s="60"/>
      <c r="B110" s="60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4.25" customHeight="1">
      <c r="A111" s="60"/>
      <c r="B111" s="60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4.25" customHeight="1">
      <c r="A112" s="60"/>
      <c r="B112" s="60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4.25" customHeight="1">
      <c r="A113" s="60"/>
      <c r="B113" s="60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4.25" customHeight="1">
      <c r="A114" s="60"/>
      <c r="B114" s="60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4.25" customHeight="1">
      <c r="A115" s="60"/>
      <c r="B115" s="60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4.25" customHeight="1">
      <c r="A116" s="60"/>
      <c r="B116" s="60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4.25" customHeight="1">
      <c r="A117" s="60"/>
      <c r="B117" s="60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4.25" customHeight="1">
      <c r="A118" s="60"/>
      <c r="B118" s="60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4.25" customHeight="1">
      <c r="A119" s="60"/>
      <c r="B119" s="60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4.25" customHeight="1">
      <c r="A120" s="60"/>
      <c r="B120" s="60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4.25" customHeight="1">
      <c r="A121" s="60"/>
      <c r="B121" s="60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4.25" customHeight="1">
      <c r="A122" s="60"/>
      <c r="B122" s="60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4.25" customHeight="1">
      <c r="A123" s="60"/>
      <c r="B123" s="60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4.25" customHeight="1">
      <c r="A124" s="60"/>
      <c r="B124" s="60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4.25" customHeight="1">
      <c r="A125" s="60"/>
      <c r="B125" s="60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4.25" customHeight="1">
      <c r="A126" s="60"/>
      <c r="B126" s="60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4.25" customHeight="1">
      <c r="A127" s="60"/>
      <c r="B127" s="60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4.25" customHeight="1">
      <c r="A128" s="60"/>
      <c r="B128" s="60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4.25" customHeight="1">
      <c r="A129" s="60"/>
      <c r="B129" s="60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4.25" customHeight="1">
      <c r="A130" s="60"/>
      <c r="B130" s="60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4.25" customHeight="1">
      <c r="A131" s="60"/>
      <c r="B131" s="60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4.25" customHeight="1">
      <c r="A132" s="60"/>
      <c r="B132" s="60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4.25" customHeight="1">
      <c r="A133" s="60"/>
      <c r="B133" s="60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4.25" customHeight="1">
      <c r="A134" s="60"/>
      <c r="B134" s="60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4.25" customHeight="1">
      <c r="A135" s="60"/>
      <c r="B135" s="60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4.25" customHeight="1">
      <c r="A136" s="60"/>
      <c r="B136" s="60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4.25" customHeight="1">
      <c r="A137" s="60"/>
      <c r="B137" s="60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4.25" customHeight="1">
      <c r="A138" s="60"/>
      <c r="B138" s="60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4.25" customHeight="1">
      <c r="A139" s="60"/>
      <c r="B139" s="60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4.25" customHeight="1">
      <c r="A140" s="60"/>
      <c r="B140" s="60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4.25" customHeight="1">
      <c r="A141" s="60"/>
      <c r="B141" s="60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4.25" customHeight="1">
      <c r="A142" s="60"/>
      <c r="B142" s="60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4.25" customHeight="1">
      <c r="A143" s="60"/>
      <c r="B143" s="60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4.25" customHeight="1">
      <c r="A144" s="60"/>
      <c r="B144" s="60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4.25" customHeight="1">
      <c r="A145" s="60"/>
      <c r="B145" s="60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4.25" customHeight="1">
      <c r="A146" s="60"/>
      <c r="B146" s="60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4.25" customHeight="1">
      <c r="A147" s="60"/>
      <c r="B147" s="60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4.25" customHeight="1">
      <c r="A148" s="60"/>
      <c r="B148" s="60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4.25" customHeight="1">
      <c r="A149" s="60"/>
      <c r="B149" s="60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4.25" customHeight="1">
      <c r="A150" s="60"/>
      <c r="B150" s="60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4.25" customHeight="1">
      <c r="A151" s="60"/>
      <c r="B151" s="60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4.25" customHeight="1">
      <c r="A152" s="60"/>
      <c r="B152" s="60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4.25" customHeight="1">
      <c r="A153" s="60"/>
      <c r="B153" s="60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4.25" customHeight="1">
      <c r="A154" s="60"/>
      <c r="B154" s="60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4.25" customHeight="1">
      <c r="A155" s="60"/>
      <c r="B155" s="60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4.25" customHeight="1">
      <c r="A156" s="60"/>
      <c r="B156" s="60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4.25" customHeight="1">
      <c r="A157" s="60"/>
      <c r="B157" s="60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4.25" customHeight="1">
      <c r="A158" s="60"/>
      <c r="B158" s="60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4.25" customHeight="1">
      <c r="A159" s="60"/>
      <c r="B159" s="60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4.25" customHeight="1">
      <c r="A160" s="60"/>
      <c r="B160" s="60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4.25" customHeight="1">
      <c r="A161" s="60"/>
      <c r="B161" s="60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4.25" customHeight="1">
      <c r="A162" s="60"/>
      <c r="B162" s="60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4.25" customHeight="1">
      <c r="A163" s="60"/>
      <c r="B163" s="60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4.25" customHeight="1">
      <c r="A164" s="60"/>
      <c r="B164" s="60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4.25" customHeight="1">
      <c r="A165" s="60"/>
      <c r="B165" s="60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4.25" customHeight="1">
      <c r="A166" s="60"/>
      <c r="B166" s="60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4.25" customHeight="1">
      <c r="A167" s="60"/>
      <c r="B167" s="60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4.25" customHeight="1">
      <c r="A168" s="60"/>
      <c r="B168" s="60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4.25" customHeight="1">
      <c r="A169" s="60"/>
      <c r="B169" s="60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4.25" customHeight="1">
      <c r="A170" s="60"/>
      <c r="B170" s="60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4.25" customHeight="1">
      <c r="A171" s="60"/>
      <c r="B171" s="60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4.25" customHeight="1">
      <c r="A172" s="60"/>
      <c r="B172" s="60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4.25" customHeight="1">
      <c r="A173" s="60"/>
      <c r="B173" s="60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4.25" customHeight="1">
      <c r="A174" s="60"/>
      <c r="B174" s="60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4.25" customHeight="1">
      <c r="A175" s="60"/>
      <c r="B175" s="60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4.25" customHeight="1">
      <c r="A176" s="60"/>
      <c r="B176" s="60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4.25" customHeight="1">
      <c r="A177" s="60"/>
      <c r="B177" s="60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4.25" customHeight="1">
      <c r="A178" s="60"/>
      <c r="B178" s="60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4.25" customHeight="1">
      <c r="A179" s="60"/>
      <c r="B179" s="60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4.25" customHeight="1">
      <c r="A180" s="60"/>
      <c r="B180" s="60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4.25" customHeight="1">
      <c r="A181" s="60"/>
      <c r="B181" s="60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4.25" customHeight="1">
      <c r="A182" s="60"/>
      <c r="B182" s="60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4.25" customHeight="1">
      <c r="A183" s="60"/>
      <c r="B183" s="60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4.25" customHeight="1">
      <c r="A184" s="60"/>
      <c r="B184" s="60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4.25" customHeight="1">
      <c r="A185" s="60"/>
      <c r="B185" s="60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4.25" customHeight="1">
      <c r="A186" s="60"/>
      <c r="B186" s="60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4.25" customHeight="1">
      <c r="A187" s="60"/>
      <c r="B187" s="60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4.25" customHeight="1">
      <c r="A188" s="60"/>
      <c r="B188" s="60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4.25" customHeight="1">
      <c r="A189" s="60"/>
      <c r="B189" s="60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4.25" customHeight="1">
      <c r="A190" s="60"/>
      <c r="B190" s="60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4.25" customHeight="1">
      <c r="A191" s="60"/>
      <c r="B191" s="60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4.25" customHeight="1">
      <c r="A192" s="60"/>
      <c r="B192" s="60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4.25" customHeight="1">
      <c r="A193" s="60"/>
      <c r="B193" s="60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4.25" customHeight="1">
      <c r="A194" s="60"/>
      <c r="B194" s="60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4.25" customHeight="1">
      <c r="A195" s="60"/>
      <c r="B195" s="60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4.25" customHeight="1">
      <c r="A196" s="60"/>
      <c r="B196" s="60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4.25" customHeight="1">
      <c r="A197" s="60"/>
      <c r="B197" s="60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4.25" customHeight="1">
      <c r="A198" s="60"/>
      <c r="B198" s="60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4.25" customHeight="1">
      <c r="A199" s="60"/>
      <c r="B199" s="60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4.25" customHeight="1">
      <c r="A200" s="60"/>
      <c r="B200" s="60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4.25" customHeight="1">
      <c r="A201" s="60"/>
      <c r="B201" s="60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4.25" customHeight="1">
      <c r="A202" s="60"/>
      <c r="B202" s="60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4.25" customHeight="1">
      <c r="A203" s="60"/>
      <c r="B203" s="60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4.25" customHeight="1">
      <c r="A204" s="60"/>
      <c r="B204" s="60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4.25" customHeight="1">
      <c r="A205" s="60"/>
      <c r="B205" s="60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4.25" customHeight="1">
      <c r="A206" s="60"/>
      <c r="B206" s="60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4.25" customHeight="1">
      <c r="A207" s="60"/>
      <c r="B207" s="60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4.25" customHeight="1">
      <c r="A208" s="60"/>
      <c r="B208" s="60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4.25" customHeight="1">
      <c r="A209" s="60"/>
      <c r="B209" s="60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4.25" customHeight="1">
      <c r="A210" s="60"/>
      <c r="B210" s="60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4.25" customHeight="1">
      <c r="A211" s="60"/>
      <c r="B211" s="60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4.25" customHeight="1">
      <c r="A212" s="60"/>
      <c r="B212" s="60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4.25" customHeight="1">
      <c r="A213" s="60"/>
      <c r="B213" s="60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4.25" customHeight="1">
      <c r="A214" s="60"/>
      <c r="B214" s="60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4.25" customHeight="1">
      <c r="A215" s="60"/>
      <c r="B215" s="60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4.25" customHeight="1">
      <c r="A216" s="60"/>
      <c r="B216" s="60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4.25" customHeight="1">
      <c r="A217" s="60"/>
      <c r="B217" s="60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4.25" customHeight="1">
      <c r="A218" s="60"/>
      <c r="B218" s="60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4.25" customHeight="1">
      <c r="A219" s="60"/>
      <c r="B219" s="60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4.25" customHeight="1">
      <c r="A220" s="60"/>
      <c r="B220" s="60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4.25" customHeight="1">
      <c r="A221" s="60"/>
      <c r="B221" s="60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4.25" customHeight="1">
      <c r="A222" s="60"/>
      <c r="B222" s="60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4.25" customHeight="1">
      <c r="A223" s="60"/>
      <c r="B223" s="60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4.25" customHeight="1">
      <c r="A224" s="60"/>
      <c r="B224" s="60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4.25" customHeight="1">
      <c r="A225" s="60"/>
      <c r="B225" s="60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4.25" customHeight="1">
      <c r="A226" s="60"/>
      <c r="B226" s="60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4.25" customHeight="1">
      <c r="A227" s="60"/>
      <c r="B227" s="60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4.25" customHeight="1">
      <c r="A228" s="60"/>
      <c r="B228" s="60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4.25" customHeight="1">
      <c r="A229" s="60"/>
      <c r="B229" s="60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4.25" customHeight="1">
      <c r="A230" s="60"/>
      <c r="B230" s="60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4.25" customHeight="1">
      <c r="A231" s="60"/>
      <c r="B231" s="60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4.25" customHeight="1">
      <c r="A232" s="60"/>
      <c r="B232" s="60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4.25" customHeight="1">
      <c r="A233" s="60"/>
      <c r="B233" s="60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4.25" customHeight="1">
      <c r="A234" s="60"/>
      <c r="B234" s="60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4.25" customHeight="1">
      <c r="A235" s="60"/>
      <c r="B235" s="60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4.25" customHeight="1">
      <c r="A236" s="60"/>
      <c r="B236" s="60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4.25" customHeight="1">
      <c r="A237" s="60"/>
      <c r="B237" s="60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4.25" customHeight="1">
      <c r="A238" s="60"/>
      <c r="B238" s="60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4.25" customHeight="1">
      <c r="A239" s="60"/>
      <c r="B239" s="60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4.25" customHeight="1">
      <c r="A240" s="60"/>
      <c r="B240" s="60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4.25" customHeight="1">
      <c r="A241" s="60"/>
      <c r="B241" s="60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4.25" customHeight="1">
      <c r="A242" s="60"/>
      <c r="B242" s="60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4.25" customHeight="1">
      <c r="A243" s="60"/>
      <c r="B243" s="60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4.25" customHeight="1">
      <c r="A244" s="60"/>
      <c r="B244" s="60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4.25" customHeight="1">
      <c r="A245" s="60"/>
      <c r="B245" s="60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4.25" customHeight="1">
      <c r="A246" s="60"/>
      <c r="B246" s="60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4.25" customHeight="1">
      <c r="A247" s="60"/>
      <c r="B247" s="60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4.25" customHeight="1">
      <c r="A248" s="60"/>
      <c r="B248" s="60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4.25" customHeight="1">
      <c r="A249" s="60"/>
      <c r="B249" s="60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4.25" customHeight="1">
      <c r="A250" s="60"/>
      <c r="B250" s="60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4.25" customHeight="1">
      <c r="A251" s="60"/>
      <c r="B251" s="60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4.25" customHeight="1">
      <c r="A252" s="60"/>
      <c r="B252" s="60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4.25" customHeight="1">
      <c r="A253" s="60"/>
      <c r="B253" s="60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4.25" customHeight="1">
      <c r="A254" s="60"/>
      <c r="B254" s="60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4.25" customHeight="1">
      <c r="A255" s="60"/>
      <c r="B255" s="60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4.25" customHeight="1">
      <c r="A256" s="60"/>
      <c r="B256" s="60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4.25" customHeight="1">
      <c r="A257" s="60"/>
      <c r="B257" s="60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4.25" customHeight="1">
      <c r="A258" s="60"/>
      <c r="B258" s="60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4.25" customHeight="1">
      <c r="A259" s="60"/>
      <c r="B259" s="60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4.25" customHeight="1">
      <c r="A260" s="60"/>
      <c r="B260" s="60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4.25" customHeight="1">
      <c r="A261" s="60"/>
      <c r="B261" s="60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4.25" customHeight="1">
      <c r="A262" s="60"/>
      <c r="B262" s="60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4.25" customHeight="1">
      <c r="A263" s="60"/>
      <c r="B263" s="60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4.25" customHeight="1">
      <c r="A264" s="60"/>
      <c r="B264" s="60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4.25" customHeight="1">
      <c r="A265" s="60"/>
      <c r="B265" s="60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4.25" customHeight="1">
      <c r="A266" s="60"/>
      <c r="B266" s="60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4.25" customHeight="1">
      <c r="A267" s="60"/>
      <c r="B267" s="60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4.25" customHeight="1">
      <c r="A268" s="60"/>
      <c r="B268" s="60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4.25" customHeight="1">
      <c r="A269" s="60"/>
      <c r="B269" s="60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4.25" customHeight="1">
      <c r="A270" s="60"/>
      <c r="B270" s="60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4.25" customHeight="1">
      <c r="A271" s="60"/>
      <c r="B271" s="60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4.25" customHeight="1">
      <c r="A272" s="60"/>
      <c r="B272" s="60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4.25" customHeight="1">
      <c r="A273" s="60"/>
      <c r="B273" s="60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4.25" customHeight="1">
      <c r="A274" s="60"/>
      <c r="B274" s="60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4.25" customHeight="1">
      <c r="A275" s="60"/>
      <c r="B275" s="60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4.25" customHeight="1">
      <c r="A276" s="60"/>
      <c r="B276" s="60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4.25" customHeight="1">
      <c r="A277" s="60"/>
      <c r="B277" s="60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4.25" customHeight="1">
      <c r="A278" s="60"/>
      <c r="B278" s="60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4.25" customHeight="1">
      <c r="A279" s="60"/>
      <c r="B279" s="60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4.25" customHeight="1">
      <c r="A280" s="60"/>
      <c r="B280" s="60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4.25" customHeight="1">
      <c r="A281" s="60"/>
      <c r="B281" s="60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4.25" customHeight="1">
      <c r="A282" s="60"/>
      <c r="B282" s="60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4.25" customHeight="1">
      <c r="A283" s="60"/>
      <c r="B283" s="60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4.25" customHeight="1">
      <c r="A284" s="60"/>
      <c r="B284" s="60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4.25" customHeight="1">
      <c r="A285" s="60"/>
      <c r="B285" s="60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4.25" customHeight="1">
      <c r="A286" s="60"/>
      <c r="B286" s="60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4.25" customHeight="1">
      <c r="A287" s="60"/>
      <c r="B287" s="60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4.25" customHeight="1">
      <c r="A288" s="60"/>
      <c r="B288" s="60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4.25" customHeight="1">
      <c r="A289" s="60"/>
      <c r="B289" s="60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4.25" customHeight="1">
      <c r="A290" s="60"/>
      <c r="B290" s="60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4.25" customHeight="1">
      <c r="A291" s="60"/>
      <c r="B291" s="60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4.25" customHeight="1">
      <c r="A292" s="60"/>
      <c r="B292" s="60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4.25" customHeight="1">
      <c r="A293" s="60"/>
      <c r="B293" s="60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4.25" customHeight="1">
      <c r="A294" s="60"/>
      <c r="B294" s="60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4.25" customHeight="1">
      <c r="A295" s="60"/>
      <c r="B295" s="60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4.25" customHeight="1">
      <c r="A296" s="60"/>
      <c r="B296" s="60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4.25" customHeight="1">
      <c r="A297" s="60"/>
      <c r="B297" s="60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4.25" customHeight="1">
      <c r="A298" s="60"/>
      <c r="B298" s="60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4.25" customHeight="1">
      <c r="A299" s="60"/>
      <c r="B299" s="60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4.25" customHeight="1">
      <c r="A300" s="60"/>
      <c r="B300" s="60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4.25" customHeight="1">
      <c r="A301" s="60"/>
      <c r="B301" s="60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4.25" customHeight="1">
      <c r="A302" s="60"/>
      <c r="B302" s="60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4.25" customHeight="1">
      <c r="A303" s="60"/>
      <c r="B303" s="60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4.25" customHeight="1">
      <c r="A304" s="60"/>
      <c r="B304" s="60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4.25" customHeight="1">
      <c r="A305" s="60"/>
      <c r="B305" s="60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4.25" customHeight="1">
      <c r="A306" s="60"/>
      <c r="B306" s="60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4.25" customHeight="1">
      <c r="A307" s="60"/>
      <c r="B307" s="60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4.25" customHeight="1">
      <c r="A308" s="60"/>
      <c r="B308" s="60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4.25" customHeight="1">
      <c r="A309" s="60"/>
      <c r="B309" s="60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4.25" customHeight="1">
      <c r="A310" s="60"/>
      <c r="B310" s="60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4.25" customHeight="1">
      <c r="A311" s="60"/>
      <c r="B311" s="60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4.25" customHeight="1">
      <c r="A312" s="60"/>
      <c r="B312" s="60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4.25" customHeight="1">
      <c r="A313" s="60"/>
      <c r="B313" s="60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4.25" customHeight="1">
      <c r="A314" s="60"/>
      <c r="B314" s="60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4.25" customHeight="1">
      <c r="A315" s="60"/>
      <c r="B315" s="60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4.25" customHeight="1">
      <c r="A316" s="60"/>
      <c r="B316" s="60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4.25" customHeight="1">
      <c r="A317" s="60"/>
      <c r="B317" s="60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4.25" customHeight="1">
      <c r="A318" s="60"/>
      <c r="B318" s="60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4.25" customHeight="1">
      <c r="A319" s="60"/>
      <c r="B319" s="60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4.25" customHeight="1">
      <c r="A320" s="60"/>
      <c r="B320" s="60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4.25" customHeight="1">
      <c r="A321" s="60"/>
      <c r="B321" s="60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4.25" customHeight="1">
      <c r="A322" s="60"/>
      <c r="B322" s="60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4.25" customHeight="1">
      <c r="A323" s="60"/>
      <c r="B323" s="60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4.25" customHeight="1">
      <c r="A324" s="60"/>
      <c r="B324" s="60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4.25" customHeight="1">
      <c r="A325" s="60"/>
      <c r="B325" s="60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4.25" customHeight="1">
      <c r="A326" s="60"/>
      <c r="B326" s="60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4.25" customHeight="1">
      <c r="A327" s="60"/>
      <c r="B327" s="60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4.25" customHeight="1">
      <c r="A328" s="60"/>
      <c r="B328" s="60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4.25" customHeight="1">
      <c r="A329" s="60"/>
      <c r="B329" s="60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4.25" customHeight="1">
      <c r="A330" s="60"/>
      <c r="B330" s="60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4.25" customHeight="1">
      <c r="A331" s="60"/>
      <c r="B331" s="60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4.25" customHeight="1">
      <c r="A332" s="60"/>
      <c r="B332" s="60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4.25" customHeight="1">
      <c r="A333" s="60"/>
      <c r="B333" s="60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4.25" customHeight="1">
      <c r="A334" s="60"/>
      <c r="B334" s="60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4.25" customHeight="1">
      <c r="A335" s="60"/>
      <c r="B335" s="60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4.25" customHeight="1">
      <c r="A336" s="60"/>
      <c r="B336" s="60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4.25" customHeight="1">
      <c r="A337" s="60"/>
      <c r="B337" s="60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4.25" customHeight="1">
      <c r="A338" s="60"/>
      <c r="B338" s="60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4.25" customHeight="1">
      <c r="A339" s="60"/>
      <c r="B339" s="60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4.25" customHeight="1">
      <c r="A340" s="60"/>
      <c r="B340" s="60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4.25" customHeight="1">
      <c r="A341" s="60"/>
      <c r="B341" s="60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4.25" customHeight="1">
      <c r="A342" s="60"/>
      <c r="B342" s="60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4.25" customHeight="1">
      <c r="A343" s="60"/>
      <c r="B343" s="60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4.25" customHeight="1">
      <c r="A344" s="60"/>
      <c r="B344" s="60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4.25" customHeight="1">
      <c r="A345" s="60"/>
      <c r="B345" s="60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4.25" customHeight="1">
      <c r="A346" s="60"/>
      <c r="B346" s="60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4.25" customHeight="1">
      <c r="A347" s="60"/>
      <c r="B347" s="60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4.25" customHeight="1">
      <c r="A348" s="60"/>
      <c r="B348" s="60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4.25" customHeight="1">
      <c r="A349" s="60"/>
      <c r="B349" s="60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4.25" customHeight="1">
      <c r="A350" s="60"/>
      <c r="B350" s="60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4.25" customHeight="1">
      <c r="A351" s="60"/>
      <c r="B351" s="60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4.25" customHeight="1">
      <c r="A352" s="60"/>
      <c r="B352" s="60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4.25" customHeight="1">
      <c r="A353" s="60"/>
      <c r="B353" s="60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4.25" customHeight="1">
      <c r="A354" s="60"/>
      <c r="B354" s="60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4.25" customHeight="1">
      <c r="A355" s="60"/>
      <c r="B355" s="60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4.25" customHeight="1">
      <c r="A356" s="60"/>
      <c r="B356" s="60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4.25" customHeight="1">
      <c r="A357" s="60"/>
      <c r="B357" s="60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4.25" customHeight="1">
      <c r="A358" s="60"/>
      <c r="B358" s="60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4.25" customHeight="1">
      <c r="A359" s="60"/>
      <c r="B359" s="60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4.25" customHeight="1">
      <c r="A360" s="60"/>
      <c r="B360" s="60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4.25" customHeight="1">
      <c r="A361" s="60"/>
      <c r="B361" s="60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4.25" customHeight="1">
      <c r="A362" s="60"/>
      <c r="B362" s="60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4.25" customHeight="1">
      <c r="A363" s="60"/>
      <c r="B363" s="60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4.25" customHeight="1">
      <c r="A364" s="60"/>
      <c r="B364" s="60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4.25" customHeight="1">
      <c r="A365" s="60"/>
      <c r="B365" s="60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4.25" customHeight="1">
      <c r="A366" s="60"/>
      <c r="B366" s="60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4.25" customHeight="1">
      <c r="A367" s="60"/>
      <c r="B367" s="60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4.25" customHeight="1">
      <c r="A368" s="60"/>
      <c r="B368" s="60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4.25" customHeight="1">
      <c r="A369" s="60"/>
      <c r="B369" s="60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4.25" customHeight="1">
      <c r="A370" s="60"/>
      <c r="B370" s="60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4.25" customHeight="1">
      <c r="A371" s="60"/>
      <c r="B371" s="60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4.25" customHeight="1">
      <c r="A372" s="60"/>
      <c r="B372" s="60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4.25" customHeight="1">
      <c r="A373" s="60"/>
      <c r="B373" s="60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4.25" customHeight="1">
      <c r="A374" s="60"/>
      <c r="B374" s="60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4.25" customHeight="1">
      <c r="A375" s="60"/>
      <c r="B375" s="60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4.25" customHeight="1">
      <c r="A376" s="60"/>
      <c r="B376" s="60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4.25" customHeight="1">
      <c r="A377" s="60"/>
      <c r="B377" s="60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4.25" customHeight="1">
      <c r="A378" s="60"/>
      <c r="B378" s="60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4.25" customHeight="1">
      <c r="A379" s="60"/>
      <c r="B379" s="60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4.25" customHeight="1">
      <c r="A380" s="60"/>
      <c r="B380" s="60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4.25" customHeight="1">
      <c r="A381" s="60"/>
      <c r="B381" s="60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4.25" customHeight="1">
      <c r="A382" s="60"/>
      <c r="B382" s="60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4.25" customHeight="1">
      <c r="A383" s="60"/>
      <c r="B383" s="60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4.25" customHeight="1">
      <c r="A384" s="60"/>
      <c r="B384" s="60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4.25" customHeight="1">
      <c r="A385" s="60"/>
      <c r="B385" s="60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4.25" customHeight="1">
      <c r="A386" s="60"/>
      <c r="B386" s="60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4.25" customHeight="1">
      <c r="A387" s="60"/>
      <c r="B387" s="60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4.25" customHeight="1">
      <c r="A388" s="60"/>
      <c r="B388" s="60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4.25" customHeight="1">
      <c r="A389" s="60"/>
      <c r="B389" s="60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4.25" customHeight="1">
      <c r="A390" s="60"/>
      <c r="B390" s="60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4.25" customHeight="1">
      <c r="A391" s="60"/>
      <c r="B391" s="60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4.25" customHeight="1">
      <c r="A392" s="60"/>
      <c r="B392" s="60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4.25" customHeight="1">
      <c r="A393" s="60"/>
      <c r="B393" s="60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4.25" customHeight="1">
      <c r="A394" s="60"/>
      <c r="B394" s="60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4.25" customHeight="1">
      <c r="A395" s="60"/>
      <c r="B395" s="60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4.25" customHeight="1">
      <c r="A396" s="60"/>
      <c r="B396" s="60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4.25" customHeight="1">
      <c r="A397" s="60"/>
      <c r="B397" s="60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4.25" customHeight="1">
      <c r="A398" s="60"/>
      <c r="B398" s="60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4.25" customHeight="1">
      <c r="A399" s="60"/>
      <c r="B399" s="60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4.25" customHeight="1">
      <c r="A400" s="60"/>
      <c r="B400" s="60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4.25" customHeight="1">
      <c r="A401" s="60"/>
      <c r="B401" s="60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4.25" customHeight="1">
      <c r="A402" s="60"/>
      <c r="B402" s="60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4.25" customHeight="1">
      <c r="A403" s="60"/>
      <c r="B403" s="60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4.25" customHeight="1">
      <c r="A404" s="60"/>
      <c r="B404" s="60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4.25" customHeight="1">
      <c r="A405" s="60"/>
      <c r="B405" s="60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4.25" customHeight="1">
      <c r="A406" s="60"/>
      <c r="B406" s="60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4.25" customHeight="1">
      <c r="A407" s="60"/>
      <c r="B407" s="60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4.25" customHeight="1">
      <c r="A408" s="60"/>
      <c r="B408" s="60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4.25" customHeight="1">
      <c r="A409" s="60"/>
      <c r="B409" s="60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4.25" customHeight="1">
      <c r="A410" s="60"/>
      <c r="B410" s="60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4.25" customHeight="1">
      <c r="A411" s="60"/>
      <c r="B411" s="60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4.25" customHeight="1">
      <c r="A412" s="60"/>
      <c r="B412" s="60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4.25" customHeight="1">
      <c r="A413" s="60"/>
      <c r="B413" s="60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4.25" customHeight="1">
      <c r="A414" s="60"/>
      <c r="B414" s="60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4.25" customHeight="1">
      <c r="A415" s="60"/>
      <c r="B415" s="60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4.25" customHeight="1">
      <c r="A416" s="60"/>
      <c r="B416" s="60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4.25" customHeight="1">
      <c r="A417" s="60"/>
      <c r="B417" s="60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4.25" customHeight="1">
      <c r="A418" s="60"/>
      <c r="B418" s="60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4.25" customHeight="1">
      <c r="A419" s="60"/>
      <c r="B419" s="60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4.25" customHeight="1">
      <c r="A420" s="60"/>
      <c r="B420" s="60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4.25" customHeight="1">
      <c r="A421" s="60"/>
      <c r="B421" s="60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4.25" customHeight="1">
      <c r="A422" s="60"/>
      <c r="B422" s="60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4.25" customHeight="1">
      <c r="A423" s="60"/>
      <c r="B423" s="60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4.25" customHeight="1">
      <c r="A424" s="60"/>
      <c r="B424" s="60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4.25" customHeight="1">
      <c r="A425" s="60"/>
      <c r="B425" s="60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4.25" customHeight="1">
      <c r="A426" s="60"/>
      <c r="B426" s="60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4.25" customHeight="1">
      <c r="A427" s="60"/>
      <c r="B427" s="60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4.25" customHeight="1">
      <c r="A428" s="60"/>
      <c r="B428" s="60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4.25" customHeight="1">
      <c r="A429" s="60"/>
      <c r="B429" s="60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4.25" customHeight="1">
      <c r="A430" s="60"/>
      <c r="B430" s="60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4.25" customHeight="1">
      <c r="A431" s="60"/>
      <c r="B431" s="60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4.25" customHeight="1">
      <c r="A432" s="60"/>
      <c r="B432" s="60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4.25" customHeight="1">
      <c r="A433" s="60"/>
      <c r="B433" s="60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4.25" customHeight="1">
      <c r="A434" s="60"/>
      <c r="B434" s="60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4.25" customHeight="1">
      <c r="A435" s="60"/>
      <c r="B435" s="60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4.25" customHeight="1">
      <c r="A436" s="60"/>
      <c r="B436" s="60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4.25" customHeight="1">
      <c r="A437" s="60"/>
      <c r="B437" s="60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4.25" customHeight="1">
      <c r="A438" s="60"/>
      <c r="B438" s="60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4.25" customHeight="1">
      <c r="A439" s="60"/>
      <c r="B439" s="60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4.25" customHeight="1">
      <c r="A440" s="60"/>
      <c r="B440" s="60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4.25" customHeight="1">
      <c r="A441" s="60"/>
      <c r="B441" s="60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4.25" customHeight="1">
      <c r="A442" s="60"/>
      <c r="B442" s="60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4.25" customHeight="1">
      <c r="A443" s="60"/>
      <c r="B443" s="60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4.25" customHeight="1">
      <c r="A444" s="60"/>
      <c r="B444" s="60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4.25" customHeight="1">
      <c r="A445" s="60"/>
      <c r="B445" s="60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4.25" customHeight="1">
      <c r="A446" s="60"/>
      <c r="B446" s="60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4.25" customHeight="1">
      <c r="A447" s="60"/>
      <c r="B447" s="60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4.25" customHeight="1">
      <c r="A448" s="60"/>
      <c r="B448" s="60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4.25" customHeight="1">
      <c r="A449" s="60"/>
      <c r="B449" s="60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4.25" customHeight="1">
      <c r="A450" s="60"/>
      <c r="B450" s="60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4.25" customHeight="1">
      <c r="A451" s="60"/>
      <c r="B451" s="60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4.25" customHeight="1">
      <c r="A452" s="60"/>
      <c r="B452" s="60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4.25" customHeight="1">
      <c r="A453" s="60"/>
      <c r="B453" s="60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4.25" customHeight="1">
      <c r="A454" s="60"/>
      <c r="B454" s="60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4.25" customHeight="1">
      <c r="A455" s="60"/>
      <c r="B455" s="60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4.25" customHeight="1">
      <c r="A456" s="60"/>
      <c r="B456" s="60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4.25" customHeight="1">
      <c r="A457" s="60"/>
      <c r="B457" s="60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4.25" customHeight="1">
      <c r="A458" s="60"/>
      <c r="B458" s="60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4.25" customHeight="1">
      <c r="A459" s="60"/>
      <c r="B459" s="60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4.25" customHeight="1">
      <c r="A460" s="60"/>
      <c r="B460" s="60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4.25" customHeight="1">
      <c r="A461" s="60"/>
      <c r="B461" s="60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4.25" customHeight="1">
      <c r="A462" s="60"/>
      <c r="B462" s="60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4.25" customHeight="1">
      <c r="A463" s="60"/>
      <c r="B463" s="60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4.25" customHeight="1">
      <c r="A464" s="60"/>
      <c r="B464" s="60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4.25" customHeight="1">
      <c r="A465" s="60"/>
      <c r="B465" s="60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4.25" customHeight="1">
      <c r="A466" s="60"/>
      <c r="B466" s="60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4.25" customHeight="1">
      <c r="A467" s="60"/>
      <c r="B467" s="60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4.25" customHeight="1">
      <c r="A468" s="60"/>
      <c r="B468" s="60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4.25" customHeight="1">
      <c r="A469" s="60"/>
      <c r="B469" s="60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4.25" customHeight="1">
      <c r="A470" s="60"/>
      <c r="B470" s="60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4.25" customHeight="1">
      <c r="A471" s="60"/>
      <c r="B471" s="60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4.25" customHeight="1">
      <c r="A472" s="60"/>
      <c r="B472" s="60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4.25" customHeight="1">
      <c r="A473" s="60"/>
      <c r="B473" s="60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4.25" customHeight="1">
      <c r="A474" s="60"/>
      <c r="B474" s="60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4.25" customHeight="1">
      <c r="A475" s="60"/>
      <c r="B475" s="60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4.25" customHeight="1">
      <c r="A476" s="60"/>
      <c r="B476" s="60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4.25" customHeight="1">
      <c r="A477" s="60"/>
      <c r="B477" s="60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4.25" customHeight="1">
      <c r="A478" s="60"/>
      <c r="B478" s="60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4.25" customHeight="1">
      <c r="A479" s="60"/>
      <c r="B479" s="60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4.25" customHeight="1">
      <c r="A480" s="60"/>
      <c r="B480" s="60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4.25" customHeight="1">
      <c r="A481" s="60"/>
      <c r="B481" s="60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4.25" customHeight="1">
      <c r="A482" s="60"/>
      <c r="B482" s="60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4.25" customHeight="1">
      <c r="A483" s="60"/>
      <c r="B483" s="60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4.25" customHeight="1">
      <c r="A484" s="60"/>
      <c r="B484" s="60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4.25" customHeight="1">
      <c r="A485" s="60"/>
      <c r="B485" s="60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4.25" customHeight="1">
      <c r="A486" s="60"/>
      <c r="B486" s="60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4.25" customHeight="1">
      <c r="A487" s="60"/>
      <c r="B487" s="60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4.25" customHeight="1">
      <c r="A488" s="60"/>
      <c r="B488" s="60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4.25" customHeight="1">
      <c r="A489" s="60"/>
      <c r="B489" s="60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4.25" customHeight="1">
      <c r="A490" s="60"/>
      <c r="B490" s="60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4.25" customHeight="1">
      <c r="A491" s="60"/>
      <c r="B491" s="60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4.25" customHeight="1">
      <c r="A492" s="60"/>
      <c r="B492" s="60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4.25" customHeight="1">
      <c r="A493" s="60"/>
      <c r="B493" s="60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4.25" customHeight="1">
      <c r="A494" s="60"/>
      <c r="B494" s="60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4.25" customHeight="1">
      <c r="A495" s="60"/>
      <c r="B495" s="60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4.25" customHeight="1">
      <c r="A496" s="60"/>
      <c r="B496" s="60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4.25" customHeight="1">
      <c r="A497" s="60"/>
      <c r="B497" s="60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4.25" customHeight="1">
      <c r="A498" s="60"/>
      <c r="B498" s="60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4.25" customHeight="1">
      <c r="A499" s="60"/>
      <c r="B499" s="60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4.25" customHeight="1">
      <c r="A500" s="60"/>
      <c r="B500" s="60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4.25" customHeight="1">
      <c r="A501" s="60"/>
      <c r="B501" s="60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4.25" customHeight="1">
      <c r="A502" s="60"/>
      <c r="B502" s="60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4.25" customHeight="1">
      <c r="A503" s="60"/>
      <c r="B503" s="60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4.25" customHeight="1">
      <c r="A504" s="60"/>
      <c r="B504" s="60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4.25" customHeight="1">
      <c r="A505" s="60"/>
      <c r="B505" s="60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4.25" customHeight="1">
      <c r="A506" s="60"/>
      <c r="B506" s="60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4.25" customHeight="1">
      <c r="A507" s="60"/>
      <c r="B507" s="60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4.25" customHeight="1">
      <c r="A508" s="60"/>
      <c r="B508" s="60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4.25" customHeight="1">
      <c r="A509" s="60"/>
      <c r="B509" s="60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4.25" customHeight="1">
      <c r="A510" s="60"/>
      <c r="B510" s="60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4.25" customHeight="1">
      <c r="A511" s="60"/>
      <c r="B511" s="60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4.25" customHeight="1">
      <c r="A512" s="60"/>
      <c r="B512" s="60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4.25" customHeight="1">
      <c r="A513" s="60"/>
      <c r="B513" s="60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4.25" customHeight="1">
      <c r="A514" s="60"/>
      <c r="B514" s="60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4.25" customHeight="1">
      <c r="A515" s="60"/>
      <c r="B515" s="60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4.25" customHeight="1">
      <c r="A516" s="60"/>
      <c r="B516" s="60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4.25" customHeight="1">
      <c r="A517" s="60"/>
      <c r="B517" s="60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4.25" customHeight="1">
      <c r="A518" s="60"/>
      <c r="B518" s="60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4.25" customHeight="1">
      <c r="A519" s="60"/>
      <c r="B519" s="60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4.25" customHeight="1">
      <c r="A520" s="60"/>
      <c r="B520" s="60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4.25" customHeight="1">
      <c r="A521" s="60"/>
      <c r="B521" s="60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4.25" customHeight="1">
      <c r="A522" s="60"/>
      <c r="B522" s="60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4.25" customHeight="1">
      <c r="A523" s="60"/>
      <c r="B523" s="60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4.25" customHeight="1">
      <c r="A524" s="60"/>
      <c r="B524" s="60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4.25" customHeight="1">
      <c r="A525" s="60"/>
      <c r="B525" s="60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4.25" customHeight="1">
      <c r="A526" s="60"/>
      <c r="B526" s="60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4.25" customHeight="1">
      <c r="A527" s="60"/>
      <c r="B527" s="60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4.25" customHeight="1">
      <c r="A528" s="60"/>
      <c r="B528" s="60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4.25" customHeight="1">
      <c r="A529" s="60"/>
      <c r="B529" s="60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4.25" customHeight="1">
      <c r="A530" s="60"/>
      <c r="B530" s="60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4.25" customHeight="1">
      <c r="A531" s="60"/>
      <c r="B531" s="60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4.25" customHeight="1">
      <c r="A532" s="60"/>
      <c r="B532" s="60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4.25" customHeight="1">
      <c r="A533" s="60"/>
      <c r="B533" s="60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4.25" customHeight="1">
      <c r="A534" s="60"/>
      <c r="B534" s="60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4.25" customHeight="1">
      <c r="A535" s="60"/>
      <c r="B535" s="60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4.25" customHeight="1">
      <c r="A536" s="60"/>
      <c r="B536" s="60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4.25" customHeight="1">
      <c r="A537" s="60"/>
      <c r="B537" s="60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4.25" customHeight="1">
      <c r="A538" s="60"/>
      <c r="B538" s="60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4.25" customHeight="1">
      <c r="A539" s="60"/>
      <c r="B539" s="60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4.25" customHeight="1">
      <c r="A540" s="60"/>
      <c r="B540" s="60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4.25" customHeight="1">
      <c r="A541" s="60"/>
      <c r="B541" s="60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4.25" customHeight="1">
      <c r="A542" s="60"/>
      <c r="B542" s="60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4.25" customHeight="1">
      <c r="A543" s="60"/>
      <c r="B543" s="60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4.25" customHeight="1">
      <c r="A544" s="60"/>
      <c r="B544" s="60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4.25" customHeight="1">
      <c r="A545" s="60"/>
      <c r="B545" s="60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4.25" customHeight="1">
      <c r="A546" s="60"/>
      <c r="B546" s="60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4.25" customHeight="1">
      <c r="A547" s="60"/>
      <c r="B547" s="60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4.25" customHeight="1">
      <c r="A548" s="60"/>
      <c r="B548" s="60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4.25" customHeight="1">
      <c r="A549" s="60"/>
      <c r="B549" s="60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4.25" customHeight="1">
      <c r="A550" s="60"/>
      <c r="B550" s="60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4.25" customHeight="1">
      <c r="A551" s="60"/>
      <c r="B551" s="60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4.25" customHeight="1">
      <c r="A552" s="60"/>
      <c r="B552" s="60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4.25" customHeight="1">
      <c r="A553" s="60"/>
      <c r="B553" s="60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4.25" customHeight="1">
      <c r="A554" s="60"/>
      <c r="B554" s="60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4.25" customHeight="1">
      <c r="A555" s="60"/>
      <c r="B555" s="60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4.25" customHeight="1">
      <c r="A556" s="60"/>
      <c r="B556" s="60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4.25" customHeight="1">
      <c r="A557" s="60"/>
      <c r="B557" s="60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4.25" customHeight="1">
      <c r="A558" s="60"/>
      <c r="B558" s="60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4.25" customHeight="1">
      <c r="A559" s="60"/>
      <c r="B559" s="60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4.25" customHeight="1">
      <c r="A560" s="60"/>
      <c r="B560" s="60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4.25" customHeight="1">
      <c r="A561" s="60"/>
      <c r="B561" s="60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4.25" customHeight="1">
      <c r="A562" s="60"/>
      <c r="B562" s="60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4.25" customHeight="1">
      <c r="A563" s="60"/>
      <c r="B563" s="60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4.25" customHeight="1">
      <c r="A564" s="60"/>
      <c r="B564" s="60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4.25" customHeight="1">
      <c r="A565" s="60"/>
      <c r="B565" s="60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4.25" customHeight="1">
      <c r="A566" s="60"/>
      <c r="B566" s="60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4.25" customHeight="1">
      <c r="A567" s="60"/>
      <c r="B567" s="60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4.25" customHeight="1">
      <c r="A568" s="60"/>
      <c r="B568" s="60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4.25" customHeight="1">
      <c r="A569" s="60"/>
      <c r="B569" s="60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4.25" customHeight="1">
      <c r="A570" s="60"/>
      <c r="B570" s="60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4.25" customHeight="1">
      <c r="A571" s="60"/>
      <c r="B571" s="60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4.25" customHeight="1">
      <c r="A572" s="60"/>
      <c r="B572" s="60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4.25" customHeight="1">
      <c r="A573" s="60"/>
      <c r="B573" s="60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4.25" customHeight="1">
      <c r="A574" s="60"/>
      <c r="B574" s="60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4.25" customHeight="1">
      <c r="A575" s="60"/>
      <c r="B575" s="60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4.25" customHeight="1">
      <c r="A576" s="60"/>
      <c r="B576" s="60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4.25" customHeight="1">
      <c r="A577" s="60"/>
      <c r="B577" s="60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4.25" customHeight="1">
      <c r="A578" s="60"/>
      <c r="B578" s="60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4.25" customHeight="1">
      <c r="A579" s="60"/>
      <c r="B579" s="60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4.25" customHeight="1">
      <c r="A580" s="60"/>
      <c r="B580" s="60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4.25" customHeight="1">
      <c r="A581" s="60"/>
      <c r="B581" s="60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4.25" customHeight="1">
      <c r="A582" s="60"/>
      <c r="B582" s="60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4.25" customHeight="1">
      <c r="A583" s="60"/>
      <c r="B583" s="60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4.25" customHeight="1">
      <c r="A584" s="60"/>
      <c r="B584" s="60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4.25" customHeight="1">
      <c r="A585" s="60"/>
      <c r="B585" s="60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4.25" customHeight="1">
      <c r="A586" s="60"/>
      <c r="B586" s="60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4.25" customHeight="1">
      <c r="A587" s="60"/>
      <c r="B587" s="60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4.25" customHeight="1">
      <c r="A588" s="60"/>
      <c r="B588" s="60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4.25" customHeight="1">
      <c r="A589" s="60"/>
      <c r="B589" s="60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4.25" customHeight="1">
      <c r="A590" s="60"/>
      <c r="B590" s="60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4.25" customHeight="1">
      <c r="A591" s="60"/>
      <c r="B591" s="60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4.25" customHeight="1">
      <c r="A592" s="60"/>
      <c r="B592" s="60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4.25" customHeight="1">
      <c r="A593" s="60"/>
      <c r="B593" s="60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4.25" customHeight="1">
      <c r="A594" s="60"/>
      <c r="B594" s="60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4.25" customHeight="1">
      <c r="A595" s="60"/>
      <c r="B595" s="60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4.25" customHeight="1">
      <c r="A596" s="60"/>
      <c r="B596" s="60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4.25" customHeight="1">
      <c r="A597" s="60"/>
      <c r="B597" s="60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4.25" customHeight="1">
      <c r="A598" s="60"/>
      <c r="B598" s="60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4.25" customHeight="1">
      <c r="A599" s="60"/>
      <c r="B599" s="60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4.25" customHeight="1">
      <c r="A600" s="60"/>
      <c r="B600" s="60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4.25" customHeight="1">
      <c r="A601" s="60"/>
      <c r="B601" s="60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4.25" customHeight="1">
      <c r="A602" s="60"/>
      <c r="B602" s="60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4.25" customHeight="1">
      <c r="A603" s="60"/>
      <c r="B603" s="60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4.25" customHeight="1">
      <c r="A604" s="60"/>
      <c r="B604" s="60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4.25" customHeight="1">
      <c r="A605" s="60"/>
      <c r="B605" s="60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4.25" customHeight="1">
      <c r="A606" s="60"/>
      <c r="B606" s="60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4.25" customHeight="1">
      <c r="A607" s="60"/>
      <c r="B607" s="60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4.25" customHeight="1">
      <c r="A608" s="60"/>
      <c r="B608" s="60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4.25" customHeight="1">
      <c r="A609" s="60"/>
      <c r="B609" s="60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4.25" customHeight="1">
      <c r="A610" s="60"/>
      <c r="B610" s="60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4.25" customHeight="1">
      <c r="A611" s="60"/>
      <c r="B611" s="60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4.25" customHeight="1">
      <c r="A612" s="60"/>
      <c r="B612" s="60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4.25" customHeight="1">
      <c r="A613" s="60"/>
      <c r="B613" s="60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4.25" customHeight="1">
      <c r="A614" s="60"/>
      <c r="B614" s="60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4.25" customHeight="1">
      <c r="A615" s="60"/>
      <c r="B615" s="60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4.25" customHeight="1">
      <c r="A616" s="60"/>
      <c r="B616" s="60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4.25" customHeight="1">
      <c r="A617" s="60"/>
      <c r="B617" s="60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4.25" customHeight="1">
      <c r="A618" s="60"/>
      <c r="B618" s="60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4.25" customHeight="1">
      <c r="A619" s="60"/>
      <c r="B619" s="60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4.25" customHeight="1">
      <c r="A620" s="60"/>
      <c r="B620" s="60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4.25" customHeight="1">
      <c r="A621" s="60"/>
      <c r="B621" s="60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4.25" customHeight="1">
      <c r="A622" s="60"/>
      <c r="B622" s="60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4.25" customHeight="1">
      <c r="A623" s="60"/>
      <c r="B623" s="60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4.25" customHeight="1">
      <c r="A624" s="60"/>
      <c r="B624" s="60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4.25" customHeight="1">
      <c r="A625" s="60"/>
      <c r="B625" s="60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4.25" customHeight="1">
      <c r="A626" s="60"/>
      <c r="B626" s="60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4.25" customHeight="1">
      <c r="A627" s="60"/>
      <c r="B627" s="60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4.25" customHeight="1">
      <c r="A628" s="60"/>
      <c r="B628" s="60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4.25" customHeight="1">
      <c r="A629" s="60"/>
      <c r="B629" s="60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4.25" customHeight="1">
      <c r="A630" s="60"/>
      <c r="B630" s="60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4.25" customHeight="1">
      <c r="A631" s="60"/>
      <c r="B631" s="60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4.25" customHeight="1">
      <c r="A632" s="60"/>
      <c r="B632" s="60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4.25" customHeight="1">
      <c r="A633" s="60"/>
      <c r="B633" s="60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4.25" customHeight="1">
      <c r="A634" s="60"/>
      <c r="B634" s="60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4.25" customHeight="1">
      <c r="A635" s="60"/>
      <c r="B635" s="60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4.25" customHeight="1">
      <c r="A636" s="60"/>
      <c r="B636" s="60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4.25" customHeight="1">
      <c r="A637" s="60"/>
      <c r="B637" s="60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4.25" customHeight="1">
      <c r="A638" s="60"/>
      <c r="B638" s="60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4.25" customHeight="1">
      <c r="A639" s="60"/>
      <c r="B639" s="60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4.25" customHeight="1">
      <c r="A640" s="60"/>
      <c r="B640" s="60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4.25" customHeight="1">
      <c r="A641" s="60"/>
      <c r="B641" s="60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4.25" customHeight="1">
      <c r="A642" s="60"/>
      <c r="B642" s="60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4.25" customHeight="1">
      <c r="A643" s="60"/>
      <c r="B643" s="60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4.25" customHeight="1">
      <c r="A644" s="60"/>
      <c r="B644" s="60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4.25" customHeight="1">
      <c r="A645" s="60"/>
      <c r="B645" s="60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4.25" customHeight="1">
      <c r="A646" s="60"/>
      <c r="B646" s="60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4.25" customHeight="1">
      <c r="A647" s="60"/>
      <c r="B647" s="60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4.25" customHeight="1">
      <c r="A648" s="60"/>
      <c r="B648" s="60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4.25" customHeight="1">
      <c r="A649" s="60"/>
      <c r="B649" s="60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4.25" customHeight="1">
      <c r="A650" s="60"/>
      <c r="B650" s="60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4.25" customHeight="1">
      <c r="A651" s="60"/>
      <c r="B651" s="60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4.25" customHeight="1">
      <c r="A652" s="60"/>
      <c r="B652" s="60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4.25" customHeight="1">
      <c r="A653" s="60"/>
      <c r="B653" s="60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4.25" customHeight="1">
      <c r="A654" s="60"/>
      <c r="B654" s="60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4.25" customHeight="1">
      <c r="A655" s="60"/>
      <c r="B655" s="60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4.25" customHeight="1">
      <c r="A656" s="60"/>
      <c r="B656" s="60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4.25" customHeight="1">
      <c r="A657" s="60"/>
      <c r="B657" s="60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4.25" customHeight="1">
      <c r="A658" s="60"/>
      <c r="B658" s="60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4.25" customHeight="1">
      <c r="A659" s="60"/>
      <c r="B659" s="60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4.25" customHeight="1">
      <c r="A660" s="60"/>
      <c r="B660" s="60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4.25" customHeight="1">
      <c r="A661" s="60"/>
      <c r="B661" s="60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4.25" customHeight="1">
      <c r="A662" s="60"/>
      <c r="B662" s="60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4.25" customHeight="1">
      <c r="A663" s="60"/>
      <c r="B663" s="60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4.25" customHeight="1">
      <c r="A664" s="60"/>
      <c r="B664" s="60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4.25" customHeight="1">
      <c r="A665" s="60"/>
      <c r="B665" s="60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4.25" customHeight="1">
      <c r="A666" s="60"/>
      <c r="B666" s="60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4.25" customHeight="1">
      <c r="A667" s="60"/>
      <c r="B667" s="60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4.25" customHeight="1">
      <c r="A668" s="60"/>
      <c r="B668" s="60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4.25" customHeight="1">
      <c r="A669" s="60"/>
      <c r="B669" s="60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4.25" customHeight="1">
      <c r="A670" s="60"/>
      <c r="B670" s="60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4.25" customHeight="1">
      <c r="A671" s="60"/>
      <c r="B671" s="60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4.25" customHeight="1">
      <c r="A672" s="60"/>
      <c r="B672" s="60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4.25" customHeight="1">
      <c r="A673" s="60"/>
      <c r="B673" s="60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4.25" customHeight="1">
      <c r="A674" s="60"/>
      <c r="B674" s="60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4.25" customHeight="1">
      <c r="A675" s="60"/>
      <c r="B675" s="60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4.25" customHeight="1">
      <c r="A676" s="60"/>
      <c r="B676" s="60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4.25" customHeight="1">
      <c r="A677" s="60"/>
      <c r="B677" s="60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4.25" customHeight="1">
      <c r="A678" s="60"/>
      <c r="B678" s="60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4.25" customHeight="1">
      <c r="A679" s="60"/>
      <c r="B679" s="60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4.25" customHeight="1">
      <c r="A680" s="60"/>
      <c r="B680" s="60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4.25" customHeight="1">
      <c r="A681" s="60"/>
      <c r="B681" s="60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4.25" customHeight="1">
      <c r="A682" s="60"/>
      <c r="B682" s="60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4.25" customHeight="1">
      <c r="A683" s="60"/>
      <c r="B683" s="60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4.25" customHeight="1">
      <c r="A684" s="60"/>
      <c r="B684" s="60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4.25" customHeight="1">
      <c r="A685" s="60"/>
      <c r="B685" s="60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4.25" customHeight="1">
      <c r="A686" s="60"/>
      <c r="B686" s="60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4.25" customHeight="1">
      <c r="A687" s="60"/>
      <c r="B687" s="60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4.25" customHeight="1">
      <c r="A688" s="60"/>
      <c r="B688" s="60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4.25" customHeight="1">
      <c r="A689" s="60"/>
      <c r="B689" s="60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4.25" customHeight="1">
      <c r="A690" s="60"/>
      <c r="B690" s="60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4.25" customHeight="1">
      <c r="A691" s="60"/>
      <c r="B691" s="60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4.25" customHeight="1">
      <c r="A692" s="60"/>
      <c r="B692" s="60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4.25" customHeight="1">
      <c r="A693" s="60"/>
      <c r="B693" s="60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4.25" customHeight="1">
      <c r="A694" s="60"/>
      <c r="B694" s="60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4.25" customHeight="1">
      <c r="A695" s="60"/>
      <c r="B695" s="60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4.25" customHeight="1">
      <c r="A696" s="60"/>
      <c r="B696" s="60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4.25" customHeight="1">
      <c r="A697" s="60"/>
      <c r="B697" s="60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4.25" customHeight="1">
      <c r="A698" s="60"/>
      <c r="B698" s="60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4.25" customHeight="1">
      <c r="A699" s="60"/>
      <c r="B699" s="60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4.25" customHeight="1">
      <c r="A700" s="60"/>
      <c r="B700" s="60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4.25" customHeight="1">
      <c r="A701" s="60"/>
      <c r="B701" s="60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4.25" customHeight="1">
      <c r="A702" s="60"/>
      <c r="B702" s="60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4.25" customHeight="1">
      <c r="A703" s="60"/>
      <c r="B703" s="60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4.25" customHeight="1">
      <c r="A704" s="60"/>
      <c r="B704" s="60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4.25" customHeight="1">
      <c r="A705" s="60"/>
      <c r="B705" s="60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4.25" customHeight="1">
      <c r="A706" s="60"/>
      <c r="B706" s="60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4.25" customHeight="1">
      <c r="A707" s="60"/>
      <c r="B707" s="60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4.25" customHeight="1">
      <c r="A708" s="60"/>
      <c r="B708" s="60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4.25" customHeight="1">
      <c r="A709" s="60"/>
      <c r="B709" s="60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4.25" customHeight="1">
      <c r="A710" s="60"/>
      <c r="B710" s="60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4.25" customHeight="1">
      <c r="A711" s="60"/>
      <c r="B711" s="60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4.25" customHeight="1">
      <c r="A712" s="60"/>
      <c r="B712" s="60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4.25" customHeight="1">
      <c r="A713" s="60"/>
      <c r="B713" s="60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4.25" customHeight="1">
      <c r="A714" s="60"/>
      <c r="B714" s="60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4.25" customHeight="1">
      <c r="A715" s="60"/>
      <c r="B715" s="60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4.25" customHeight="1">
      <c r="A716" s="60"/>
      <c r="B716" s="60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4.25" customHeight="1">
      <c r="A717" s="60"/>
      <c r="B717" s="60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4.25" customHeight="1">
      <c r="A718" s="60"/>
      <c r="B718" s="60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4.25" customHeight="1">
      <c r="A719" s="60"/>
      <c r="B719" s="60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4.25" customHeight="1">
      <c r="A720" s="60"/>
      <c r="B720" s="60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4.25" customHeight="1">
      <c r="A721" s="60"/>
      <c r="B721" s="60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4.25" customHeight="1">
      <c r="A722" s="60"/>
      <c r="B722" s="60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4.25" customHeight="1">
      <c r="A723" s="60"/>
      <c r="B723" s="60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4.25" customHeight="1">
      <c r="A724" s="60"/>
      <c r="B724" s="60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4.25" customHeight="1">
      <c r="A725" s="60"/>
      <c r="B725" s="60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4.25" customHeight="1">
      <c r="A726" s="60"/>
      <c r="B726" s="60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4.25" customHeight="1">
      <c r="A727" s="60"/>
      <c r="B727" s="60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4.25" customHeight="1">
      <c r="A728" s="60"/>
      <c r="B728" s="60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4.25" customHeight="1">
      <c r="A729" s="60"/>
      <c r="B729" s="60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4.25" customHeight="1">
      <c r="A730" s="60"/>
      <c r="B730" s="60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4.25" customHeight="1">
      <c r="A731" s="60"/>
      <c r="B731" s="60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4.25" customHeight="1">
      <c r="A732" s="60"/>
      <c r="B732" s="60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4.25" customHeight="1">
      <c r="A733" s="60"/>
      <c r="B733" s="60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4.25" customHeight="1">
      <c r="A734" s="60"/>
      <c r="B734" s="60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4.25" customHeight="1">
      <c r="A735" s="60"/>
      <c r="B735" s="60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4.25" customHeight="1">
      <c r="A736" s="60"/>
      <c r="B736" s="60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4.25" customHeight="1">
      <c r="A737" s="60"/>
      <c r="B737" s="60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4.25" customHeight="1">
      <c r="A738" s="60"/>
      <c r="B738" s="60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4.25" customHeight="1">
      <c r="A739" s="60"/>
      <c r="B739" s="60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4.25" customHeight="1">
      <c r="A740" s="60"/>
      <c r="B740" s="60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4.25" customHeight="1">
      <c r="A741" s="60"/>
      <c r="B741" s="60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4.25" customHeight="1">
      <c r="A742" s="60"/>
      <c r="B742" s="60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4.25" customHeight="1">
      <c r="A743" s="60"/>
      <c r="B743" s="60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4.25" customHeight="1">
      <c r="A744" s="60"/>
      <c r="B744" s="60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4.25" customHeight="1">
      <c r="A745" s="60"/>
      <c r="B745" s="60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4.25" customHeight="1">
      <c r="A746" s="60"/>
      <c r="B746" s="60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4.25" customHeight="1">
      <c r="A747" s="60"/>
      <c r="B747" s="60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4.25" customHeight="1">
      <c r="A748" s="60"/>
      <c r="B748" s="60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4.25" customHeight="1">
      <c r="A749" s="60"/>
      <c r="B749" s="60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4.25" customHeight="1">
      <c r="A750" s="60"/>
      <c r="B750" s="60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4.25" customHeight="1">
      <c r="A751" s="60"/>
      <c r="B751" s="60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4.25" customHeight="1">
      <c r="A752" s="60"/>
      <c r="B752" s="60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4.25" customHeight="1">
      <c r="A753" s="60"/>
      <c r="B753" s="60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4.25" customHeight="1">
      <c r="A754" s="60"/>
      <c r="B754" s="60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4.25" customHeight="1">
      <c r="A755" s="60"/>
      <c r="B755" s="60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4.25" customHeight="1">
      <c r="A756" s="60"/>
      <c r="B756" s="60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4.25" customHeight="1">
      <c r="A757" s="60"/>
      <c r="B757" s="60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4.25" customHeight="1">
      <c r="A758" s="60"/>
      <c r="B758" s="60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4.25" customHeight="1">
      <c r="A759" s="60"/>
      <c r="B759" s="60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4.25" customHeight="1">
      <c r="A760" s="60"/>
      <c r="B760" s="60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4.25" customHeight="1">
      <c r="A761" s="60"/>
      <c r="B761" s="60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4.25" customHeight="1">
      <c r="A762" s="60"/>
      <c r="B762" s="60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4.25" customHeight="1">
      <c r="A763" s="60"/>
      <c r="B763" s="60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4.25" customHeight="1">
      <c r="A764" s="60"/>
      <c r="B764" s="60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4.25" customHeight="1">
      <c r="A765" s="60"/>
      <c r="B765" s="60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4.25" customHeight="1">
      <c r="A766" s="60"/>
      <c r="B766" s="60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4.25" customHeight="1">
      <c r="A767" s="60"/>
      <c r="B767" s="60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4.25" customHeight="1">
      <c r="A768" s="60"/>
      <c r="B768" s="60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4.25" customHeight="1">
      <c r="A769" s="60"/>
      <c r="B769" s="60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4.25" customHeight="1">
      <c r="A770" s="60"/>
      <c r="B770" s="60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4.25" customHeight="1">
      <c r="A771" s="60"/>
      <c r="B771" s="60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4.25" customHeight="1">
      <c r="A772" s="60"/>
      <c r="B772" s="60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4.25" customHeight="1">
      <c r="A773" s="60"/>
      <c r="B773" s="60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4.25" customHeight="1">
      <c r="A774" s="60"/>
      <c r="B774" s="60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4.25" customHeight="1">
      <c r="A775" s="60"/>
      <c r="B775" s="60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4.25" customHeight="1">
      <c r="A776" s="60"/>
      <c r="B776" s="60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4.25" customHeight="1">
      <c r="A777" s="60"/>
      <c r="B777" s="60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4.25" customHeight="1">
      <c r="A778" s="60"/>
      <c r="B778" s="60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4.25" customHeight="1">
      <c r="A779" s="60"/>
      <c r="B779" s="60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4.25" customHeight="1">
      <c r="A780" s="60"/>
      <c r="B780" s="60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4.25" customHeight="1">
      <c r="A781" s="60"/>
      <c r="B781" s="60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4.25" customHeight="1">
      <c r="A782" s="60"/>
      <c r="B782" s="60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4.25" customHeight="1">
      <c r="A783" s="60"/>
      <c r="B783" s="60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4.25" customHeight="1">
      <c r="A784" s="60"/>
      <c r="B784" s="60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4.25" customHeight="1">
      <c r="A785" s="60"/>
      <c r="B785" s="60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4.25" customHeight="1">
      <c r="A786" s="60"/>
      <c r="B786" s="60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4.25" customHeight="1">
      <c r="A787" s="60"/>
      <c r="B787" s="60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4.25" customHeight="1">
      <c r="A788" s="60"/>
      <c r="B788" s="60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4.25" customHeight="1">
      <c r="A789" s="60"/>
      <c r="B789" s="60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4.25" customHeight="1">
      <c r="A790" s="60"/>
      <c r="B790" s="60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4.25" customHeight="1">
      <c r="A791" s="60"/>
      <c r="B791" s="60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4.25" customHeight="1">
      <c r="A792" s="60"/>
      <c r="B792" s="60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4.25" customHeight="1">
      <c r="A793" s="60"/>
      <c r="B793" s="60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4.25" customHeight="1">
      <c r="A794" s="60"/>
      <c r="B794" s="60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4.25" customHeight="1">
      <c r="A795" s="60"/>
      <c r="B795" s="60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4.25" customHeight="1">
      <c r="A796" s="60"/>
      <c r="B796" s="60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4.25" customHeight="1">
      <c r="A797" s="60"/>
      <c r="B797" s="60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4.25" customHeight="1">
      <c r="A798" s="60"/>
      <c r="B798" s="60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4.25" customHeight="1">
      <c r="A799" s="60"/>
      <c r="B799" s="60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4.25" customHeight="1">
      <c r="A800" s="60"/>
      <c r="B800" s="60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4.25" customHeight="1">
      <c r="A801" s="60"/>
      <c r="B801" s="60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4.25" customHeight="1">
      <c r="A802" s="60"/>
      <c r="B802" s="60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4.25" customHeight="1">
      <c r="A803" s="60"/>
      <c r="B803" s="60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4.25" customHeight="1">
      <c r="A804" s="60"/>
      <c r="B804" s="60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4.25" customHeight="1">
      <c r="A805" s="60"/>
      <c r="B805" s="60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4.25" customHeight="1">
      <c r="A806" s="60"/>
      <c r="B806" s="60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4.25" customHeight="1">
      <c r="A807" s="60"/>
      <c r="B807" s="60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4.25" customHeight="1">
      <c r="A808" s="60"/>
      <c r="B808" s="60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4.25" customHeight="1">
      <c r="A809" s="60"/>
      <c r="B809" s="60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4.25" customHeight="1">
      <c r="A810" s="60"/>
      <c r="B810" s="60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4.25" customHeight="1">
      <c r="A811" s="60"/>
      <c r="B811" s="60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4.25" customHeight="1">
      <c r="A812" s="60"/>
      <c r="B812" s="60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4.25" customHeight="1">
      <c r="A813" s="60"/>
      <c r="B813" s="60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4.25" customHeight="1">
      <c r="A814" s="60"/>
      <c r="B814" s="60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4.25" customHeight="1">
      <c r="A815" s="60"/>
      <c r="B815" s="60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4.25" customHeight="1">
      <c r="A816" s="60"/>
      <c r="B816" s="60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4.25" customHeight="1">
      <c r="A817" s="60"/>
      <c r="B817" s="60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4.25" customHeight="1">
      <c r="A818" s="60"/>
      <c r="B818" s="60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4.25" customHeight="1">
      <c r="A819" s="60"/>
      <c r="B819" s="60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4.25" customHeight="1">
      <c r="A820" s="60"/>
      <c r="B820" s="60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4.25" customHeight="1">
      <c r="A821" s="60"/>
      <c r="B821" s="60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4.25" customHeight="1">
      <c r="A822" s="60"/>
      <c r="B822" s="60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4.25" customHeight="1">
      <c r="A823" s="60"/>
      <c r="B823" s="60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4.25" customHeight="1">
      <c r="A824" s="60"/>
      <c r="B824" s="60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4.25" customHeight="1">
      <c r="A825" s="60"/>
      <c r="B825" s="60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4.25" customHeight="1">
      <c r="A826" s="60"/>
      <c r="B826" s="60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4.25" customHeight="1">
      <c r="A827" s="60"/>
      <c r="B827" s="60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4.25" customHeight="1">
      <c r="A828" s="60"/>
      <c r="B828" s="60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4.25" customHeight="1">
      <c r="A829" s="60"/>
      <c r="B829" s="60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4.25" customHeight="1">
      <c r="A830" s="60"/>
      <c r="B830" s="60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4.25" customHeight="1">
      <c r="A831" s="60"/>
      <c r="B831" s="60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4.25" customHeight="1">
      <c r="A832" s="60"/>
      <c r="B832" s="60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4.25" customHeight="1">
      <c r="A833" s="60"/>
      <c r="B833" s="60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4.25" customHeight="1">
      <c r="A834" s="60"/>
      <c r="B834" s="60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4.25" customHeight="1">
      <c r="A835" s="60"/>
      <c r="B835" s="60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4.25" customHeight="1">
      <c r="A836" s="60"/>
      <c r="B836" s="60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4.25" customHeight="1">
      <c r="A837" s="60"/>
      <c r="B837" s="60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4.25" customHeight="1">
      <c r="A838" s="60"/>
      <c r="B838" s="60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</sheetData>
  <mergeCells count="2">
    <mergeCell ref="A6:A11"/>
    <mergeCell ref="A14:A21"/>
  </mergeCells>
  <conditionalFormatting sqref="C4:Z4 C26:Z26">
    <cfRule type="cellIs" dxfId="0" priority="1" operator="between">
      <formula>0</formula>
      <formula>500</formula>
    </cfRule>
  </conditionalFormatting>
  <conditionalFormatting sqref="C4:Z4 C26:Z26">
    <cfRule type="cellIs" dxfId="1" priority="2" operator="greaterThan">
      <formula>500</formula>
    </cfRule>
  </conditionalFormatting>
  <conditionalFormatting sqref="C4:Z4 C26:Z26">
    <cfRule type="cellIs" dxfId="2" priority="3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 outlineLevelRow="1"/>
  <cols>
    <col customWidth="1" min="1" max="1" width="7.0"/>
    <col customWidth="1" min="2" max="2" width="28.5"/>
    <col customWidth="1" min="3" max="3" width="14.63"/>
    <col customWidth="1" min="4" max="4" width="14.75"/>
    <col customWidth="1" min="5" max="26" width="12.5"/>
  </cols>
  <sheetData>
    <row r="1" ht="14.25" customHeight="1">
      <c r="A1" s="56"/>
      <c r="B1" s="56"/>
      <c r="C1" s="2" t="s">
        <v>0</v>
      </c>
      <c r="D1" s="3" t="str">
        <f t="shared" ref="D1:Z1" si="1">+C1</f>
        <v>LUNES</v>
      </c>
      <c r="E1" s="3" t="str">
        <f t="shared" si="1"/>
        <v>LUNES</v>
      </c>
      <c r="F1" s="3" t="str">
        <f t="shared" si="1"/>
        <v>LUNES</v>
      </c>
      <c r="G1" s="3" t="str">
        <f t="shared" si="1"/>
        <v>LUNES</v>
      </c>
      <c r="H1" s="3" t="str">
        <f t="shared" si="1"/>
        <v>LUNES</v>
      </c>
      <c r="I1" s="3" t="str">
        <f t="shared" si="1"/>
        <v>LUNES</v>
      </c>
      <c r="J1" s="3" t="str">
        <f t="shared" si="1"/>
        <v>LUNES</v>
      </c>
      <c r="K1" s="3" t="str">
        <f t="shared" si="1"/>
        <v>LUNES</v>
      </c>
      <c r="L1" s="3" t="str">
        <f t="shared" si="1"/>
        <v>LUNES</v>
      </c>
      <c r="M1" s="3" t="str">
        <f t="shared" si="1"/>
        <v>LUNES</v>
      </c>
      <c r="N1" s="3" t="str">
        <f t="shared" si="1"/>
        <v>LUNES</v>
      </c>
      <c r="O1" s="3" t="str">
        <f t="shared" si="1"/>
        <v>LUNES</v>
      </c>
      <c r="P1" s="3" t="str">
        <f t="shared" si="1"/>
        <v>LUNES</v>
      </c>
      <c r="Q1" s="3" t="str">
        <f t="shared" si="1"/>
        <v>LUNES</v>
      </c>
      <c r="R1" s="3" t="str">
        <f t="shared" si="1"/>
        <v>LUNES</v>
      </c>
      <c r="S1" s="3" t="str">
        <f t="shared" si="1"/>
        <v>LUNES</v>
      </c>
      <c r="T1" s="3" t="str">
        <f t="shared" si="1"/>
        <v>LUNES</v>
      </c>
      <c r="U1" s="3" t="str">
        <f t="shared" si="1"/>
        <v>LUNES</v>
      </c>
      <c r="V1" s="3" t="str">
        <f t="shared" si="1"/>
        <v>LUNES</v>
      </c>
      <c r="W1" s="3" t="str">
        <f t="shared" si="1"/>
        <v>LUNES</v>
      </c>
      <c r="X1" s="3" t="str">
        <f t="shared" si="1"/>
        <v>LUNES</v>
      </c>
      <c r="Y1" s="3" t="str">
        <f t="shared" si="1"/>
        <v>LUNES</v>
      </c>
      <c r="Z1" s="3" t="str">
        <f t="shared" si="1"/>
        <v>LUNES</v>
      </c>
    </row>
    <row r="2" ht="14.25" customHeight="1">
      <c r="A2" s="56"/>
      <c r="B2" s="56"/>
      <c r="C2" s="5">
        <v>46139.0</v>
      </c>
      <c r="D2" s="6">
        <f t="shared" ref="D2:Z2" si="2">+C2+7</f>
        <v>46146</v>
      </c>
      <c r="E2" s="5">
        <f t="shared" si="2"/>
        <v>46153</v>
      </c>
      <c r="F2" s="6">
        <f t="shared" si="2"/>
        <v>46160</v>
      </c>
      <c r="G2" s="5">
        <f t="shared" si="2"/>
        <v>46167</v>
      </c>
      <c r="H2" s="6">
        <f t="shared" si="2"/>
        <v>46174</v>
      </c>
      <c r="I2" s="5">
        <f t="shared" si="2"/>
        <v>46181</v>
      </c>
      <c r="J2" s="6">
        <f t="shared" si="2"/>
        <v>46188</v>
      </c>
      <c r="K2" s="5">
        <f t="shared" si="2"/>
        <v>46195</v>
      </c>
      <c r="L2" s="6">
        <f t="shared" si="2"/>
        <v>46202</v>
      </c>
      <c r="M2" s="5">
        <f t="shared" si="2"/>
        <v>46209</v>
      </c>
      <c r="N2" s="6">
        <f t="shared" si="2"/>
        <v>46216</v>
      </c>
      <c r="O2" s="5">
        <f t="shared" si="2"/>
        <v>46223</v>
      </c>
      <c r="P2" s="6">
        <f t="shared" si="2"/>
        <v>46230</v>
      </c>
      <c r="Q2" s="5">
        <f t="shared" si="2"/>
        <v>46237</v>
      </c>
      <c r="R2" s="6">
        <f t="shared" si="2"/>
        <v>46244</v>
      </c>
      <c r="S2" s="5">
        <f t="shared" si="2"/>
        <v>46251</v>
      </c>
      <c r="T2" s="6">
        <f t="shared" si="2"/>
        <v>46258</v>
      </c>
      <c r="U2" s="5">
        <f t="shared" si="2"/>
        <v>46265</v>
      </c>
      <c r="V2" s="6">
        <f t="shared" si="2"/>
        <v>46272</v>
      </c>
      <c r="W2" s="5">
        <f t="shared" si="2"/>
        <v>46279</v>
      </c>
      <c r="X2" s="6">
        <f t="shared" si="2"/>
        <v>46286</v>
      </c>
      <c r="Y2" s="5">
        <f t="shared" si="2"/>
        <v>46293</v>
      </c>
      <c r="Z2" s="6">
        <f t="shared" si="2"/>
        <v>46300</v>
      </c>
    </row>
    <row r="3" ht="14.2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4.25" customHeight="1">
      <c r="A4" s="64"/>
      <c r="B4" s="65" t="s">
        <v>1</v>
      </c>
      <c r="C4" s="107">
        <v>0.0</v>
      </c>
      <c r="D4" s="108">
        <f t="shared" ref="D4:Z4" si="3">+C26</f>
        <v>0</v>
      </c>
      <c r="E4" s="108">
        <f t="shared" si="3"/>
        <v>0</v>
      </c>
      <c r="F4" s="108">
        <f t="shared" si="3"/>
        <v>0</v>
      </c>
      <c r="G4" s="108">
        <f t="shared" si="3"/>
        <v>0</v>
      </c>
      <c r="H4" s="108">
        <f t="shared" si="3"/>
        <v>0</v>
      </c>
      <c r="I4" s="108">
        <f t="shared" si="3"/>
        <v>0</v>
      </c>
      <c r="J4" s="108">
        <f t="shared" si="3"/>
        <v>0</v>
      </c>
      <c r="K4" s="108">
        <f t="shared" si="3"/>
        <v>0</v>
      </c>
      <c r="L4" s="108">
        <f t="shared" si="3"/>
        <v>0</v>
      </c>
      <c r="M4" s="108">
        <f t="shared" si="3"/>
        <v>0</v>
      </c>
      <c r="N4" s="108">
        <f t="shared" si="3"/>
        <v>0</v>
      </c>
      <c r="O4" s="108">
        <f t="shared" si="3"/>
        <v>0</v>
      </c>
      <c r="P4" s="108">
        <f t="shared" si="3"/>
        <v>0</v>
      </c>
      <c r="Q4" s="108">
        <f t="shared" si="3"/>
        <v>0</v>
      </c>
      <c r="R4" s="108">
        <f t="shared" si="3"/>
        <v>0</v>
      </c>
      <c r="S4" s="108">
        <f t="shared" si="3"/>
        <v>0</v>
      </c>
      <c r="T4" s="108">
        <f t="shared" si="3"/>
        <v>0</v>
      </c>
      <c r="U4" s="108">
        <f t="shared" si="3"/>
        <v>0</v>
      </c>
      <c r="V4" s="108">
        <f t="shared" si="3"/>
        <v>0</v>
      </c>
      <c r="W4" s="108">
        <f t="shared" si="3"/>
        <v>0</v>
      </c>
      <c r="X4" s="108">
        <f t="shared" si="3"/>
        <v>0</v>
      </c>
      <c r="Y4" s="108">
        <f t="shared" si="3"/>
        <v>0</v>
      </c>
      <c r="Z4" s="108">
        <f t="shared" si="3"/>
        <v>0</v>
      </c>
    </row>
    <row r="5" ht="14.25" customHeight="1">
      <c r="A5" s="60"/>
      <c r="B5" s="72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4.25" customHeight="1">
      <c r="A6" s="68" t="s">
        <v>2</v>
      </c>
      <c r="B6" s="69" t="s">
        <v>3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ht="14.25" customHeight="1" outlineLevel="1">
      <c r="A7" s="20"/>
      <c r="B7" s="72" t="s">
        <v>7</v>
      </c>
      <c r="C7" s="111">
        <v>0.0</v>
      </c>
      <c r="D7" s="111">
        <v>0.0</v>
      </c>
      <c r="E7" s="111">
        <v>0.0</v>
      </c>
      <c r="F7" s="111">
        <v>0.0</v>
      </c>
      <c r="G7" s="111">
        <v>0.0</v>
      </c>
      <c r="H7" s="111">
        <v>0.0</v>
      </c>
      <c r="I7" s="111">
        <v>0.0</v>
      </c>
      <c r="J7" s="111">
        <v>0.0</v>
      </c>
      <c r="K7" s="117">
        <v>0.0</v>
      </c>
      <c r="L7" s="111">
        <v>0.0</v>
      </c>
      <c r="M7" s="111">
        <v>0.0</v>
      </c>
      <c r="N7" s="117">
        <v>0.0</v>
      </c>
      <c r="O7" s="111">
        <v>0.0</v>
      </c>
      <c r="P7" s="111">
        <v>0.0</v>
      </c>
      <c r="Q7" s="111">
        <v>0.0</v>
      </c>
      <c r="R7" s="111">
        <v>0.0</v>
      </c>
      <c r="S7" s="111">
        <v>0.0</v>
      </c>
      <c r="T7" s="111">
        <v>0.0</v>
      </c>
      <c r="U7" s="117">
        <v>0.0</v>
      </c>
      <c r="V7" s="111">
        <v>0.0</v>
      </c>
      <c r="W7" s="111">
        <v>0.0</v>
      </c>
      <c r="X7" s="111">
        <v>0.0</v>
      </c>
      <c r="Y7" s="111">
        <v>0.0</v>
      </c>
      <c r="Z7" s="111">
        <v>0.0</v>
      </c>
    </row>
    <row r="8" ht="14.25" customHeight="1" outlineLevel="1">
      <c r="A8" s="20"/>
      <c r="B8" s="72" t="s">
        <v>8</v>
      </c>
      <c r="C8" s="111">
        <v>0.0</v>
      </c>
      <c r="D8" s="111">
        <v>0.0</v>
      </c>
      <c r="E8" s="111">
        <v>0.0</v>
      </c>
      <c r="F8" s="111">
        <v>0.0</v>
      </c>
      <c r="G8" s="111">
        <v>0.0</v>
      </c>
      <c r="H8" s="111">
        <v>0.0</v>
      </c>
      <c r="I8" s="111">
        <v>0.0</v>
      </c>
      <c r="J8" s="111">
        <v>0.0</v>
      </c>
      <c r="K8" s="111">
        <v>0.0</v>
      </c>
      <c r="L8" s="111">
        <v>0.0</v>
      </c>
      <c r="M8" s="111">
        <v>0.0</v>
      </c>
      <c r="N8" s="111">
        <v>0.0</v>
      </c>
      <c r="O8" s="111">
        <v>0.0</v>
      </c>
      <c r="P8" s="111">
        <v>0.0</v>
      </c>
      <c r="Q8" s="111">
        <v>0.0</v>
      </c>
      <c r="R8" s="111">
        <v>0.0</v>
      </c>
      <c r="S8" s="111">
        <v>0.0</v>
      </c>
      <c r="T8" s="111">
        <v>0.0</v>
      </c>
      <c r="U8" s="117">
        <v>0.0</v>
      </c>
      <c r="V8" s="111">
        <v>0.0</v>
      </c>
      <c r="W8" s="111">
        <v>0.0</v>
      </c>
      <c r="X8" s="111">
        <v>0.0</v>
      </c>
      <c r="Y8" s="111">
        <v>0.0</v>
      </c>
      <c r="Z8" s="111">
        <v>0.0</v>
      </c>
    </row>
    <row r="9" ht="14.25" customHeight="1" outlineLevel="1">
      <c r="A9" s="20"/>
      <c r="B9" s="72" t="s">
        <v>107</v>
      </c>
      <c r="C9" s="111">
        <v>0.0</v>
      </c>
      <c r="D9" s="121">
        <v>0.0</v>
      </c>
      <c r="E9" s="111">
        <v>0.0</v>
      </c>
      <c r="F9" s="111">
        <v>0.0</v>
      </c>
      <c r="G9" s="111">
        <v>0.0</v>
      </c>
      <c r="H9" s="111">
        <v>0.0</v>
      </c>
      <c r="I9" s="111">
        <v>0.0</v>
      </c>
      <c r="J9" s="111">
        <v>0.0</v>
      </c>
      <c r="K9" s="111">
        <v>0.0</v>
      </c>
      <c r="L9" s="111">
        <v>0.0</v>
      </c>
      <c r="M9" s="111">
        <v>0.0</v>
      </c>
      <c r="N9" s="111">
        <v>0.0</v>
      </c>
      <c r="O9" s="111">
        <v>0.0</v>
      </c>
      <c r="P9" s="111">
        <v>0.0</v>
      </c>
      <c r="Q9" s="111">
        <v>0.0</v>
      </c>
      <c r="R9" s="111">
        <v>0.0</v>
      </c>
      <c r="S9" s="111">
        <v>0.0</v>
      </c>
      <c r="T9" s="111">
        <v>0.0</v>
      </c>
      <c r="U9" s="111">
        <v>0.0</v>
      </c>
      <c r="V9" s="111">
        <v>0.0</v>
      </c>
      <c r="W9" s="111">
        <v>0.0</v>
      </c>
      <c r="X9" s="111">
        <v>0.0</v>
      </c>
      <c r="Y9" s="111">
        <v>0.0</v>
      </c>
      <c r="Z9" s="111">
        <v>0.0</v>
      </c>
    </row>
    <row r="10" ht="14.25" customHeight="1" outlineLevel="1">
      <c r="A10" s="20"/>
      <c r="B10" s="72" t="s">
        <v>108</v>
      </c>
      <c r="C10" s="111">
        <v>0.0</v>
      </c>
      <c r="D10" s="121">
        <v>0.0</v>
      </c>
      <c r="E10" s="111">
        <v>0.0</v>
      </c>
      <c r="F10" s="111">
        <v>0.0</v>
      </c>
      <c r="G10" s="117">
        <v>0.0</v>
      </c>
      <c r="H10" s="111">
        <v>0.0</v>
      </c>
      <c r="I10" s="111">
        <v>0.0</v>
      </c>
      <c r="J10" s="111">
        <v>0.0</v>
      </c>
      <c r="K10" s="117">
        <v>0.0</v>
      </c>
      <c r="L10" s="111">
        <v>0.0</v>
      </c>
      <c r="M10" s="111">
        <v>0.0</v>
      </c>
      <c r="N10" s="117">
        <v>0.0</v>
      </c>
      <c r="O10" s="111">
        <v>0.0</v>
      </c>
      <c r="P10" s="111">
        <v>0.0</v>
      </c>
      <c r="Q10" s="111">
        <v>0.0</v>
      </c>
      <c r="R10" s="111">
        <v>0.0</v>
      </c>
      <c r="S10" s="111">
        <v>0.0</v>
      </c>
      <c r="T10" s="117">
        <v>0.0</v>
      </c>
      <c r="U10" s="111">
        <v>0.0</v>
      </c>
      <c r="V10" s="111">
        <v>0.0</v>
      </c>
      <c r="W10" s="111">
        <v>0.0</v>
      </c>
      <c r="X10" s="111">
        <v>0.0</v>
      </c>
      <c r="Y10" s="111">
        <v>0.0</v>
      </c>
      <c r="Z10" s="111">
        <v>0.0</v>
      </c>
    </row>
    <row r="11" ht="14.25" customHeight="1" outlineLevel="1">
      <c r="A11" s="20"/>
      <c r="B11" s="119"/>
      <c r="C11" s="120">
        <v>0.0</v>
      </c>
      <c r="D11" s="120">
        <v>0.0</v>
      </c>
      <c r="E11" s="120">
        <v>0.0</v>
      </c>
      <c r="F11" s="120">
        <v>0.0</v>
      </c>
      <c r="G11" s="120">
        <v>0.0</v>
      </c>
      <c r="H11" s="120">
        <v>0.0</v>
      </c>
      <c r="I11" s="120">
        <v>0.0</v>
      </c>
      <c r="J11" s="120">
        <v>0.0</v>
      </c>
      <c r="K11" s="120">
        <v>0.0</v>
      </c>
      <c r="L11" s="120">
        <v>0.0</v>
      </c>
      <c r="M11" s="120">
        <v>0.0</v>
      </c>
      <c r="N11" s="120">
        <v>0.0</v>
      </c>
      <c r="O11" s="120">
        <v>0.0</v>
      </c>
      <c r="P11" s="120">
        <v>0.0</v>
      </c>
      <c r="Q11" s="120">
        <v>0.0</v>
      </c>
      <c r="R11" s="120">
        <v>0.0</v>
      </c>
      <c r="S11" s="120">
        <v>0.0</v>
      </c>
      <c r="T11" s="120">
        <v>0.0</v>
      </c>
      <c r="U11" s="120">
        <v>0.0</v>
      </c>
      <c r="V11" s="120">
        <v>0.0</v>
      </c>
      <c r="W11" s="120">
        <v>0.0</v>
      </c>
      <c r="X11" s="120">
        <v>0.0</v>
      </c>
      <c r="Y11" s="120">
        <v>0.0</v>
      </c>
      <c r="Z11" s="120">
        <v>0.0</v>
      </c>
    </row>
    <row r="12" ht="14.25" customHeight="1">
      <c r="A12" s="23"/>
      <c r="B12" s="75" t="s">
        <v>24</v>
      </c>
      <c r="C12" s="112">
        <f t="shared" ref="C12:Z12" si="4">SUM(C7:C11)</f>
        <v>0</v>
      </c>
      <c r="D12" s="112">
        <f t="shared" si="4"/>
        <v>0</v>
      </c>
      <c r="E12" s="112">
        <f t="shared" si="4"/>
        <v>0</v>
      </c>
      <c r="F12" s="112">
        <f t="shared" si="4"/>
        <v>0</v>
      </c>
      <c r="G12" s="112">
        <f t="shared" si="4"/>
        <v>0</v>
      </c>
      <c r="H12" s="112">
        <f t="shared" si="4"/>
        <v>0</v>
      </c>
      <c r="I12" s="112">
        <f t="shared" si="4"/>
        <v>0</v>
      </c>
      <c r="J12" s="112">
        <f t="shared" si="4"/>
        <v>0</v>
      </c>
      <c r="K12" s="112">
        <f t="shared" si="4"/>
        <v>0</v>
      </c>
      <c r="L12" s="112">
        <f t="shared" si="4"/>
        <v>0</v>
      </c>
      <c r="M12" s="112">
        <f t="shared" si="4"/>
        <v>0</v>
      </c>
      <c r="N12" s="112">
        <f t="shared" si="4"/>
        <v>0</v>
      </c>
      <c r="O12" s="112">
        <f t="shared" si="4"/>
        <v>0</v>
      </c>
      <c r="P12" s="112">
        <f t="shared" si="4"/>
        <v>0</v>
      </c>
      <c r="Q12" s="112">
        <f t="shared" si="4"/>
        <v>0</v>
      </c>
      <c r="R12" s="112">
        <f t="shared" si="4"/>
        <v>0</v>
      </c>
      <c r="S12" s="112">
        <f t="shared" si="4"/>
        <v>0</v>
      </c>
      <c r="T12" s="112">
        <f t="shared" si="4"/>
        <v>0</v>
      </c>
      <c r="U12" s="112">
        <f t="shared" si="4"/>
        <v>0</v>
      </c>
      <c r="V12" s="112">
        <f t="shared" si="4"/>
        <v>0</v>
      </c>
      <c r="W12" s="112">
        <f t="shared" si="4"/>
        <v>0</v>
      </c>
      <c r="X12" s="112">
        <f t="shared" si="4"/>
        <v>0</v>
      </c>
      <c r="Y12" s="112">
        <f t="shared" si="4"/>
        <v>0</v>
      </c>
      <c r="Z12" s="112">
        <f t="shared" si="4"/>
        <v>0</v>
      </c>
    </row>
    <row r="13" ht="14.25" customHeight="1">
      <c r="A13" s="60"/>
      <c r="B13" s="60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ht="14.25" customHeight="1">
      <c r="A14" s="76"/>
      <c r="B14" s="69" t="s">
        <v>25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4.25" customHeight="1" outlineLevel="1">
      <c r="A15" s="114" t="s">
        <v>84</v>
      </c>
      <c r="B15" s="115" t="s">
        <v>109</v>
      </c>
      <c r="C15" s="116">
        <v>0.0</v>
      </c>
      <c r="D15" s="122">
        <v>0.0</v>
      </c>
      <c r="E15" s="116">
        <v>0.0</v>
      </c>
      <c r="F15" s="116">
        <v>0.0</v>
      </c>
      <c r="G15" s="116">
        <v>0.0</v>
      </c>
      <c r="H15" s="122">
        <v>0.0</v>
      </c>
      <c r="I15" s="116">
        <v>0.0</v>
      </c>
      <c r="J15" s="116">
        <v>0.0</v>
      </c>
      <c r="K15" s="116">
        <v>0.0</v>
      </c>
      <c r="L15" s="116">
        <v>0.0</v>
      </c>
      <c r="M15" s="116">
        <v>0.0</v>
      </c>
      <c r="N15" s="116">
        <v>0.0</v>
      </c>
      <c r="O15" s="116">
        <v>0.0</v>
      </c>
      <c r="P15" s="116">
        <v>0.0</v>
      </c>
      <c r="Q15" s="116">
        <v>0.0</v>
      </c>
      <c r="R15" s="116">
        <v>0.0</v>
      </c>
      <c r="S15" s="116">
        <v>0.0</v>
      </c>
      <c r="T15" s="116">
        <v>0.0</v>
      </c>
      <c r="U15" s="116">
        <v>0.0</v>
      </c>
      <c r="V15" s="116">
        <v>0.0</v>
      </c>
      <c r="W15" s="116">
        <v>0.0</v>
      </c>
      <c r="X15" s="116">
        <v>0.0</v>
      </c>
      <c r="Y15" s="116">
        <v>0.0</v>
      </c>
      <c r="Z15" s="116">
        <v>0.0</v>
      </c>
    </row>
    <row r="16" ht="14.25" customHeight="1" outlineLevel="1">
      <c r="A16" s="20"/>
      <c r="B16" s="72" t="s">
        <v>110</v>
      </c>
      <c r="C16" s="111">
        <v>0.0</v>
      </c>
      <c r="D16" s="117">
        <v>0.0</v>
      </c>
      <c r="E16" s="111">
        <v>0.0</v>
      </c>
      <c r="F16" s="111">
        <v>0.0</v>
      </c>
      <c r="G16" s="111">
        <v>0.0</v>
      </c>
      <c r="H16" s="117">
        <v>0.0</v>
      </c>
      <c r="I16" s="111">
        <v>0.0</v>
      </c>
      <c r="J16" s="111">
        <v>0.0</v>
      </c>
      <c r="K16" s="111">
        <v>0.0</v>
      </c>
      <c r="L16" s="111">
        <v>0.0</v>
      </c>
      <c r="M16" s="111">
        <v>0.0</v>
      </c>
      <c r="N16" s="111">
        <v>0.0</v>
      </c>
      <c r="O16" s="111">
        <v>0.0</v>
      </c>
      <c r="P16" s="111">
        <v>0.0</v>
      </c>
      <c r="Q16" s="111">
        <v>0.0</v>
      </c>
      <c r="R16" s="111">
        <v>0.0</v>
      </c>
      <c r="S16" s="111">
        <v>0.0</v>
      </c>
      <c r="T16" s="111">
        <v>0.0</v>
      </c>
      <c r="U16" s="111">
        <v>0.0</v>
      </c>
      <c r="V16" s="111">
        <v>0.0</v>
      </c>
      <c r="W16" s="111">
        <v>0.0</v>
      </c>
      <c r="X16" s="111">
        <v>0.0</v>
      </c>
      <c r="Y16" s="111">
        <v>0.0</v>
      </c>
      <c r="Z16" s="111">
        <v>0.0</v>
      </c>
    </row>
    <row r="17" ht="14.25" customHeight="1" outlineLevel="1">
      <c r="A17" s="20"/>
      <c r="B17" s="72" t="s">
        <v>111</v>
      </c>
      <c r="C17" s="111">
        <v>0.0</v>
      </c>
      <c r="D17" s="117">
        <v>0.0</v>
      </c>
      <c r="E17" s="111">
        <v>0.0</v>
      </c>
      <c r="F17" s="111">
        <v>0.0</v>
      </c>
      <c r="G17" s="111">
        <v>0.0</v>
      </c>
      <c r="H17" s="117">
        <v>0.0</v>
      </c>
      <c r="I17" s="111">
        <v>0.0</v>
      </c>
      <c r="J17" s="111">
        <v>0.0</v>
      </c>
      <c r="K17" s="111">
        <v>0.0</v>
      </c>
      <c r="L17" s="111">
        <v>0.0</v>
      </c>
      <c r="M17" s="111">
        <v>0.0</v>
      </c>
      <c r="N17" s="111">
        <v>0.0</v>
      </c>
      <c r="O17" s="111">
        <v>0.0</v>
      </c>
      <c r="P17" s="111">
        <v>0.0</v>
      </c>
      <c r="Q17" s="111">
        <v>0.0</v>
      </c>
      <c r="R17" s="111">
        <v>0.0</v>
      </c>
      <c r="S17" s="111">
        <v>0.0</v>
      </c>
      <c r="T17" s="111">
        <v>0.0</v>
      </c>
      <c r="U17" s="111">
        <v>0.0</v>
      </c>
      <c r="V17" s="111">
        <v>0.0</v>
      </c>
      <c r="W17" s="111">
        <v>0.0</v>
      </c>
      <c r="X17" s="111">
        <v>0.0</v>
      </c>
      <c r="Y17" s="111">
        <v>0.0</v>
      </c>
      <c r="Z17" s="111">
        <v>0.0</v>
      </c>
    </row>
    <row r="18" ht="14.25" customHeight="1" outlineLevel="1">
      <c r="A18" s="20"/>
      <c r="B18" s="86" t="s">
        <v>112</v>
      </c>
      <c r="C18" s="111">
        <v>0.0</v>
      </c>
      <c r="D18" s="111">
        <v>0.0</v>
      </c>
      <c r="E18" s="111">
        <v>0.0</v>
      </c>
      <c r="F18" s="111">
        <v>0.0</v>
      </c>
      <c r="G18" s="111">
        <v>0.0</v>
      </c>
      <c r="H18" s="111">
        <v>0.0</v>
      </c>
      <c r="I18" s="111">
        <v>0.0</v>
      </c>
      <c r="J18" s="111">
        <v>0.0</v>
      </c>
      <c r="K18" s="111">
        <v>0.0</v>
      </c>
      <c r="L18" s="111">
        <v>0.0</v>
      </c>
      <c r="M18" s="111">
        <v>0.0</v>
      </c>
      <c r="N18" s="111">
        <v>0.0</v>
      </c>
      <c r="O18" s="111">
        <v>0.0</v>
      </c>
      <c r="P18" s="111">
        <v>0.0</v>
      </c>
      <c r="Q18" s="117">
        <v>0.0</v>
      </c>
      <c r="R18" s="111">
        <v>0.0</v>
      </c>
      <c r="S18" s="117">
        <v>0.0</v>
      </c>
      <c r="T18" s="117">
        <v>0.0</v>
      </c>
      <c r="U18" s="117">
        <v>0.0</v>
      </c>
      <c r="V18" s="117">
        <v>0.0</v>
      </c>
      <c r="W18" s="117">
        <v>0.0</v>
      </c>
      <c r="X18" s="117">
        <v>0.0</v>
      </c>
      <c r="Y18" s="117">
        <v>0.0</v>
      </c>
      <c r="Z18" s="117">
        <v>0.0</v>
      </c>
    </row>
    <row r="19" ht="14.25" customHeight="1" outlineLevel="1">
      <c r="A19" s="20"/>
      <c r="B19" s="86" t="s">
        <v>113</v>
      </c>
      <c r="C19" s="111">
        <v>0.0</v>
      </c>
      <c r="D19" s="117">
        <v>0.0</v>
      </c>
      <c r="E19" s="111">
        <v>0.0</v>
      </c>
      <c r="F19" s="111">
        <v>0.0</v>
      </c>
      <c r="G19" s="111">
        <v>0.0</v>
      </c>
      <c r="H19" s="117">
        <v>0.0</v>
      </c>
      <c r="I19" s="111">
        <v>0.0</v>
      </c>
      <c r="J19" s="111">
        <v>0.0</v>
      </c>
      <c r="K19" s="111">
        <v>0.0</v>
      </c>
      <c r="L19" s="111">
        <v>0.0</v>
      </c>
      <c r="M19" s="111">
        <v>0.0</v>
      </c>
      <c r="N19" s="111">
        <v>0.0</v>
      </c>
      <c r="O19" s="111">
        <v>0.0</v>
      </c>
      <c r="P19" s="111">
        <v>0.0</v>
      </c>
      <c r="Q19" s="111">
        <v>0.0</v>
      </c>
      <c r="R19" s="111">
        <v>0.0</v>
      </c>
      <c r="S19" s="117">
        <v>0.0</v>
      </c>
      <c r="T19" s="111">
        <v>0.0</v>
      </c>
      <c r="U19" s="111">
        <v>0.0</v>
      </c>
      <c r="V19" s="111">
        <v>0.0</v>
      </c>
      <c r="W19" s="111">
        <v>0.0</v>
      </c>
      <c r="X19" s="111">
        <v>0.0</v>
      </c>
      <c r="Y19" s="117">
        <v>0.0</v>
      </c>
      <c r="Z19" s="117">
        <v>0.0</v>
      </c>
    </row>
    <row r="20" ht="14.25" customHeight="1" outlineLevel="1">
      <c r="A20" s="20"/>
      <c r="B20" s="86" t="s">
        <v>114</v>
      </c>
      <c r="C20" s="117">
        <v>0.0</v>
      </c>
      <c r="D20" s="117">
        <v>0.0</v>
      </c>
      <c r="E20" s="117">
        <v>0.0</v>
      </c>
      <c r="F20" s="117">
        <v>0.0</v>
      </c>
      <c r="G20" s="117">
        <v>0.0</v>
      </c>
      <c r="H20" s="117">
        <v>0.0</v>
      </c>
      <c r="I20" s="117">
        <v>0.0</v>
      </c>
      <c r="J20" s="117">
        <v>0.0</v>
      </c>
      <c r="K20" s="117">
        <v>0.0</v>
      </c>
      <c r="L20" s="117">
        <v>0.0</v>
      </c>
      <c r="M20" s="117">
        <v>0.0</v>
      </c>
      <c r="N20" s="117">
        <v>0.0</v>
      </c>
      <c r="O20" s="117">
        <v>0.0</v>
      </c>
      <c r="P20" s="117">
        <v>0.0</v>
      </c>
      <c r="Q20" s="117">
        <v>0.0</v>
      </c>
      <c r="R20" s="117">
        <v>0.0</v>
      </c>
      <c r="S20" s="117">
        <v>0.0</v>
      </c>
      <c r="T20" s="117">
        <v>0.0</v>
      </c>
      <c r="U20" s="117">
        <v>0.0</v>
      </c>
      <c r="V20" s="117">
        <v>0.0</v>
      </c>
      <c r="W20" s="117">
        <v>0.0</v>
      </c>
      <c r="X20" s="117">
        <v>0.0</v>
      </c>
      <c r="Y20" s="117">
        <v>0.0</v>
      </c>
      <c r="Z20" s="117">
        <v>0.0</v>
      </c>
    </row>
    <row r="21" ht="14.25" customHeight="1" outlineLevel="1">
      <c r="A21" s="32"/>
      <c r="B21" s="96" t="s">
        <v>116</v>
      </c>
      <c r="C21" s="111">
        <v>0.0</v>
      </c>
      <c r="D21" s="117">
        <v>0.0</v>
      </c>
      <c r="E21" s="111">
        <v>0.0</v>
      </c>
      <c r="F21" s="111">
        <v>0.0</v>
      </c>
      <c r="G21" s="111">
        <v>0.0</v>
      </c>
      <c r="H21" s="117">
        <v>0.0</v>
      </c>
      <c r="I21" s="111">
        <v>0.0</v>
      </c>
      <c r="J21" s="111">
        <v>0.0</v>
      </c>
      <c r="K21" s="111">
        <v>0.0</v>
      </c>
      <c r="L21" s="111">
        <v>0.0</v>
      </c>
      <c r="M21" s="111">
        <v>0.0</v>
      </c>
      <c r="N21" s="111">
        <v>0.0</v>
      </c>
      <c r="O21" s="111">
        <v>0.0</v>
      </c>
      <c r="P21" s="111">
        <v>0.0</v>
      </c>
      <c r="Q21" s="111">
        <v>0.0</v>
      </c>
      <c r="R21" s="111">
        <v>0.0</v>
      </c>
      <c r="S21" s="111">
        <v>0.0</v>
      </c>
      <c r="T21" s="111">
        <v>0.0</v>
      </c>
      <c r="U21" s="111">
        <v>0.0</v>
      </c>
      <c r="V21" s="111">
        <v>0.0</v>
      </c>
      <c r="W21" s="111">
        <v>0.0</v>
      </c>
      <c r="X21" s="111">
        <v>0.0</v>
      </c>
      <c r="Y21" s="117">
        <v>0.0</v>
      </c>
      <c r="Z21" s="117">
        <v>0.0</v>
      </c>
    </row>
    <row r="22" ht="14.25" customHeight="1" outlineLevel="1">
      <c r="A22" s="118"/>
      <c r="B22" s="119" t="s">
        <v>121</v>
      </c>
      <c r="C22" s="120">
        <v>0.0</v>
      </c>
      <c r="D22" s="120">
        <v>0.0</v>
      </c>
      <c r="E22" s="120">
        <v>0.0</v>
      </c>
      <c r="F22" s="120">
        <v>0.0</v>
      </c>
      <c r="G22" s="120">
        <v>0.0</v>
      </c>
      <c r="H22" s="120">
        <v>0.0</v>
      </c>
      <c r="I22" s="120">
        <v>0.0</v>
      </c>
      <c r="J22" s="120">
        <v>0.0</v>
      </c>
      <c r="K22" s="120">
        <v>0.0</v>
      </c>
      <c r="L22" s="120">
        <v>0.0</v>
      </c>
      <c r="M22" s="120">
        <v>0.0</v>
      </c>
      <c r="N22" s="120">
        <v>0.0</v>
      </c>
      <c r="O22" s="120">
        <v>0.0</v>
      </c>
      <c r="P22" s="120">
        <v>0.0</v>
      </c>
      <c r="Q22" s="120">
        <v>0.0</v>
      </c>
      <c r="R22" s="120">
        <v>0.0</v>
      </c>
      <c r="S22" s="120">
        <v>0.0</v>
      </c>
      <c r="T22" s="120">
        <v>0.0</v>
      </c>
      <c r="U22" s="120">
        <v>0.0</v>
      </c>
      <c r="V22" s="120">
        <v>0.0</v>
      </c>
      <c r="W22" s="120">
        <v>0.0</v>
      </c>
      <c r="X22" s="120">
        <v>0.0</v>
      </c>
      <c r="Y22" s="120">
        <v>0.0</v>
      </c>
      <c r="Z22" s="120">
        <v>0.0</v>
      </c>
    </row>
    <row r="23" ht="14.25" customHeight="1" outlineLevel="1">
      <c r="A23" s="118"/>
      <c r="B23" s="119" t="s">
        <v>122</v>
      </c>
      <c r="C23" s="120">
        <v>0.0</v>
      </c>
      <c r="D23" s="120">
        <v>0.0</v>
      </c>
      <c r="E23" s="120">
        <v>0.0</v>
      </c>
      <c r="F23" s="120">
        <v>0.0</v>
      </c>
      <c r="G23" s="120">
        <v>0.0</v>
      </c>
      <c r="H23" s="120">
        <v>0.0</v>
      </c>
      <c r="I23" s="120">
        <v>0.0</v>
      </c>
      <c r="J23" s="120">
        <v>0.0</v>
      </c>
      <c r="K23" s="120">
        <v>0.0</v>
      </c>
      <c r="L23" s="120">
        <v>0.0</v>
      </c>
      <c r="M23" s="120">
        <v>0.0</v>
      </c>
      <c r="N23" s="120">
        <v>0.0</v>
      </c>
      <c r="O23" s="120">
        <v>0.0</v>
      </c>
      <c r="P23" s="120">
        <v>0.0</v>
      </c>
      <c r="Q23" s="120">
        <v>0.0</v>
      </c>
      <c r="R23" s="120">
        <v>0.0</v>
      </c>
      <c r="S23" s="120">
        <v>0.0</v>
      </c>
      <c r="T23" s="120">
        <v>0.0</v>
      </c>
      <c r="U23" s="120">
        <v>0.0</v>
      </c>
      <c r="V23" s="120">
        <v>0.0</v>
      </c>
      <c r="W23" s="120">
        <v>0.0</v>
      </c>
      <c r="X23" s="120">
        <v>0.0</v>
      </c>
      <c r="Y23" s="120">
        <v>0.0</v>
      </c>
      <c r="Z23" s="120">
        <v>0.0</v>
      </c>
    </row>
    <row r="24" ht="14.25" customHeight="1">
      <c r="A24" s="97"/>
      <c r="B24" s="75" t="s">
        <v>58</v>
      </c>
      <c r="C24" s="112">
        <f t="shared" ref="C24:Z24" si="5">SUM(C14:C23)</f>
        <v>0</v>
      </c>
      <c r="D24" s="112">
        <f t="shared" si="5"/>
        <v>0</v>
      </c>
      <c r="E24" s="112">
        <f t="shared" si="5"/>
        <v>0</v>
      </c>
      <c r="F24" s="112">
        <f t="shared" si="5"/>
        <v>0</v>
      </c>
      <c r="G24" s="112">
        <f t="shared" si="5"/>
        <v>0</v>
      </c>
      <c r="H24" s="112">
        <f t="shared" si="5"/>
        <v>0</v>
      </c>
      <c r="I24" s="112">
        <f t="shared" si="5"/>
        <v>0</v>
      </c>
      <c r="J24" s="112">
        <f t="shared" si="5"/>
        <v>0</v>
      </c>
      <c r="K24" s="112">
        <f t="shared" si="5"/>
        <v>0</v>
      </c>
      <c r="L24" s="112">
        <f t="shared" si="5"/>
        <v>0</v>
      </c>
      <c r="M24" s="112">
        <f t="shared" si="5"/>
        <v>0</v>
      </c>
      <c r="N24" s="112">
        <f t="shared" si="5"/>
        <v>0</v>
      </c>
      <c r="O24" s="112">
        <f t="shared" si="5"/>
        <v>0</v>
      </c>
      <c r="P24" s="112">
        <f t="shared" si="5"/>
        <v>0</v>
      </c>
      <c r="Q24" s="112">
        <f t="shared" si="5"/>
        <v>0</v>
      </c>
      <c r="R24" s="112">
        <f t="shared" si="5"/>
        <v>0</v>
      </c>
      <c r="S24" s="112">
        <f t="shared" si="5"/>
        <v>0</v>
      </c>
      <c r="T24" s="112">
        <f t="shared" si="5"/>
        <v>0</v>
      </c>
      <c r="U24" s="112">
        <f t="shared" si="5"/>
        <v>0</v>
      </c>
      <c r="V24" s="112">
        <f t="shared" si="5"/>
        <v>0</v>
      </c>
      <c r="W24" s="112">
        <f t="shared" si="5"/>
        <v>0</v>
      </c>
      <c r="X24" s="112">
        <f t="shared" si="5"/>
        <v>0</v>
      </c>
      <c r="Y24" s="112">
        <f t="shared" si="5"/>
        <v>0</v>
      </c>
      <c r="Z24" s="112">
        <f t="shared" si="5"/>
        <v>0</v>
      </c>
    </row>
    <row r="25" ht="14.25" customHeight="1">
      <c r="A25" s="60"/>
      <c r="B25" s="60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ht="14.25" customHeight="1">
      <c r="A26" s="64"/>
      <c r="B26" s="65" t="s">
        <v>59</v>
      </c>
      <c r="C26" s="108">
        <f t="shared" ref="C26:Z26" si="6">+C4+C12-C24</f>
        <v>0</v>
      </c>
      <c r="D26" s="108">
        <f t="shared" si="6"/>
        <v>0</v>
      </c>
      <c r="E26" s="108">
        <f t="shared" si="6"/>
        <v>0</v>
      </c>
      <c r="F26" s="108">
        <f t="shared" si="6"/>
        <v>0</v>
      </c>
      <c r="G26" s="108">
        <f t="shared" si="6"/>
        <v>0</v>
      </c>
      <c r="H26" s="108">
        <f t="shared" si="6"/>
        <v>0</v>
      </c>
      <c r="I26" s="108">
        <f t="shared" si="6"/>
        <v>0</v>
      </c>
      <c r="J26" s="108">
        <f t="shared" si="6"/>
        <v>0</v>
      </c>
      <c r="K26" s="108">
        <f t="shared" si="6"/>
        <v>0</v>
      </c>
      <c r="L26" s="108">
        <f t="shared" si="6"/>
        <v>0</v>
      </c>
      <c r="M26" s="108">
        <f t="shared" si="6"/>
        <v>0</v>
      </c>
      <c r="N26" s="108">
        <f t="shared" si="6"/>
        <v>0</v>
      </c>
      <c r="O26" s="108">
        <f t="shared" si="6"/>
        <v>0</v>
      </c>
      <c r="P26" s="108">
        <f t="shared" si="6"/>
        <v>0</v>
      </c>
      <c r="Q26" s="108">
        <f t="shared" si="6"/>
        <v>0</v>
      </c>
      <c r="R26" s="108">
        <f t="shared" si="6"/>
        <v>0</v>
      </c>
      <c r="S26" s="108">
        <f t="shared" si="6"/>
        <v>0</v>
      </c>
      <c r="T26" s="108">
        <f t="shared" si="6"/>
        <v>0</v>
      </c>
      <c r="U26" s="108">
        <f t="shared" si="6"/>
        <v>0</v>
      </c>
      <c r="V26" s="108">
        <f t="shared" si="6"/>
        <v>0</v>
      </c>
      <c r="W26" s="108">
        <f t="shared" si="6"/>
        <v>0</v>
      </c>
      <c r="X26" s="108">
        <f t="shared" si="6"/>
        <v>0</v>
      </c>
      <c r="Y26" s="108">
        <f t="shared" si="6"/>
        <v>0</v>
      </c>
      <c r="Z26" s="108">
        <f t="shared" si="6"/>
        <v>0</v>
      </c>
    </row>
    <row r="27" ht="14.25" customHeight="1">
      <c r="A27" s="60"/>
      <c r="B27" s="60" t="s">
        <v>123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ht="14.25" customHeight="1">
      <c r="A28" s="60"/>
      <c r="B28" s="60" t="s">
        <v>124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ht="14.25" customHeight="1">
      <c r="A29" s="60"/>
      <c r="B29" s="60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14.25" customHeight="1">
      <c r="A30" s="60"/>
      <c r="B30" s="60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14.25" customHeight="1">
      <c r="A31" s="60"/>
      <c r="B31" s="60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14.25" customHeight="1">
      <c r="A32" s="60"/>
      <c r="B32" s="60"/>
      <c r="C32" s="106"/>
      <c r="D32" s="106"/>
      <c r="E32" s="106"/>
      <c r="F32" s="49" t="s">
        <v>62</v>
      </c>
      <c r="G32" s="48"/>
      <c r="H32" s="49" t="s">
        <v>120</v>
      </c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14.25" customHeight="1">
      <c r="A33" s="60"/>
      <c r="B33" s="60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14.25" customHeight="1">
      <c r="A34" s="60"/>
      <c r="B34" s="60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14.25" customHeight="1">
      <c r="A35" s="60"/>
      <c r="B35" s="60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14.25" customHeight="1">
      <c r="A36" s="60"/>
      <c r="B36" s="60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14.25" customHeight="1">
      <c r="A37" s="60"/>
      <c r="B37" s="60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14.25" customHeight="1">
      <c r="A38" s="60"/>
      <c r="B38" s="60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4.25" customHeight="1">
      <c r="A39" s="60"/>
      <c r="B39" s="60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4.25" customHeight="1">
      <c r="A40" s="60"/>
      <c r="B40" s="60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4.25" customHeight="1">
      <c r="A41" s="60"/>
      <c r="B41" s="60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4.25" customHeight="1">
      <c r="A42" s="60"/>
      <c r="B42" s="60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4.25" customHeight="1">
      <c r="A43" s="60"/>
      <c r="B43" s="60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14.25" customHeight="1">
      <c r="A44" s="60"/>
      <c r="B44" s="60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4.25" customHeight="1">
      <c r="A45" s="60"/>
      <c r="B45" s="60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4.25" customHeight="1">
      <c r="A46" s="60"/>
      <c r="B46" s="60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4.25" customHeight="1">
      <c r="A47" s="60"/>
      <c r="B47" s="60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4.25" customHeight="1">
      <c r="A48" s="60"/>
      <c r="B48" s="60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4.25" customHeight="1">
      <c r="A49" s="60"/>
      <c r="B49" s="60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4.25" customHeight="1">
      <c r="A50" s="60"/>
      <c r="B50" s="60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4.25" customHeight="1">
      <c r="A51" s="60"/>
      <c r="B51" s="60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4.25" customHeight="1">
      <c r="A52" s="60"/>
      <c r="B52" s="60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4.25" customHeight="1">
      <c r="A53" s="60"/>
      <c r="B53" s="60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4.25" customHeight="1">
      <c r="A54" s="60"/>
      <c r="B54" s="60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4.25" customHeight="1">
      <c r="A55" s="60"/>
      <c r="B55" s="60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4.25" customHeight="1">
      <c r="A56" s="60"/>
      <c r="B56" s="60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4.25" customHeight="1">
      <c r="A57" s="60"/>
      <c r="B57" s="60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4.25" customHeight="1">
      <c r="A58" s="60"/>
      <c r="B58" s="60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4.25" customHeight="1">
      <c r="A59" s="60"/>
      <c r="B59" s="60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4.25" customHeight="1">
      <c r="A60" s="60"/>
      <c r="B60" s="60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4.25" customHeight="1">
      <c r="A61" s="60"/>
      <c r="B61" s="60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4.25" customHeight="1">
      <c r="A62" s="60"/>
      <c r="B62" s="60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4.25" customHeight="1">
      <c r="A63" s="60"/>
      <c r="B63" s="60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4.25" customHeight="1">
      <c r="A64" s="60"/>
      <c r="B64" s="60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4.25" customHeight="1">
      <c r="A65" s="60"/>
      <c r="B65" s="60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4.25" customHeight="1">
      <c r="A66" s="60"/>
      <c r="B66" s="60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4.25" customHeight="1">
      <c r="A67" s="60"/>
      <c r="B67" s="60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4.25" customHeight="1">
      <c r="A68" s="60"/>
      <c r="B68" s="60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4.25" customHeight="1">
      <c r="A69" s="60"/>
      <c r="B69" s="60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4.25" customHeight="1">
      <c r="A70" s="60"/>
      <c r="B70" s="60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4.25" customHeight="1">
      <c r="A71" s="60"/>
      <c r="B71" s="60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4.25" customHeight="1">
      <c r="A72" s="60"/>
      <c r="B72" s="60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4.25" customHeight="1">
      <c r="A73" s="60"/>
      <c r="B73" s="60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4.25" customHeight="1">
      <c r="A74" s="60"/>
      <c r="B74" s="60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4.25" customHeight="1">
      <c r="A75" s="60"/>
      <c r="B75" s="60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4.25" customHeight="1">
      <c r="A76" s="60"/>
      <c r="B76" s="60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4.25" customHeight="1">
      <c r="A77" s="60"/>
      <c r="B77" s="60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4.25" customHeight="1">
      <c r="A78" s="60"/>
      <c r="B78" s="60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4.25" customHeight="1">
      <c r="A79" s="60"/>
      <c r="B79" s="60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4.25" customHeight="1">
      <c r="A80" s="60"/>
      <c r="B80" s="60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4.25" customHeight="1">
      <c r="A81" s="60"/>
      <c r="B81" s="60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4.25" customHeight="1">
      <c r="A82" s="60"/>
      <c r="B82" s="60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4.25" customHeight="1">
      <c r="A83" s="60"/>
      <c r="B83" s="60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4.25" customHeight="1">
      <c r="A84" s="60"/>
      <c r="B84" s="60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4.25" customHeight="1">
      <c r="A85" s="60"/>
      <c r="B85" s="60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4.25" customHeight="1">
      <c r="A86" s="60"/>
      <c r="B86" s="60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4.25" customHeight="1">
      <c r="A87" s="60"/>
      <c r="B87" s="60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4.25" customHeight="1">
      <c r="A88" s="60"/>
      <c r="B88" s="60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4.25" customHeight="1">
      <c r="A89" s="60"/>
      <c r="B89" s="60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4.25" customHeight="1">
      <c r="A90" s="60"/>
      <c r="B90" s="60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4.25" customHeight="1">
      <c r="A91" s="60"/>
      <c r="B91" s="60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4.25" customHeight="1">
      <c r="A92" s="60"/>
      <c r="B92" s="60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4.25" customHeight="1">
      <c r="A93" s="60"/>
      <c r="B93" s="60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4.25" customHeight="1">
      <c r="A94" s="60"/>
      <c r="B94" s="60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4.25" customHeight="1">
      <c r="A95" s="60"/>
      <c r="B95" s="60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4.25" customHeight="1">
      <c r="A96" s="60"/>
      <c r="B96" s="60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4.25" customHeight="1">
      <c r="A97" s="60"/>
      <c r="B97" s="60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4.25" customHeight="1">
      <c r="A98" s="60"/>
      <c r="B98" s="60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4.25" customHeight="1">
      <c r="A99" s="60"/>
      <c r="B99" s="60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4.25" customHeight="1">
      <c r="A100" s="60"/>
      <c r="B100" s="60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4.25" customHeight="1">
      <c r="A101" s="60"/>
      <c r="B101" s="60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4.25" customHeight="1">
      <c r="A102" s="60"/>
      <c r="B102" s="60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4.25" customHeight="1">
      <c r="A103" s="60"/>
      <c r="B103" s="60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4.25" customHeight="1">
      <c r="A104" s="60"/>
      <c r="B104" s="60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4.25" customHeight="1">
      <c r="A105" s="60"/>
      <c r="B105" s="60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4.25" customHeight="1">
      <c r="A106" s="60"/>
      <c r="B106" s="60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4.25" customHeight="1">
      <c r="A107" s="60"/>
      <c r="B107" s="60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4.25" customHeight="1">
      <c r="A108" s="60"/>
      <c r="B108" s="60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4.25" customHeight="1">
      <c r="A109" s="60"/>
      <c r="B109" s="60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4.25" customHeight="1">
      <c r="A110" s="60"/>
      <c r="B110" s="60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4.25" customHeight="1">
      <c r="A111" s="60"/>
      <c r="B111" s="60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4.25" customHeight="1">
      <c r="A112" s="60"/>
      <c r="B112" s="60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4.25" customHeight="1">
      <c r="A113" s="60"/>
      <c r="B113" s="60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4.25" customHeight="1">
      <c r="A114" s="60"/>
      <c r="B114" s="60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4.25" customHeight="1">
      <c r="A115" s="60"/>
      <c r="B115" s="60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4.25" customHeight="1">
      <c r="A116" s="60"/>
      <c r="B116" s="60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4.25" customHeight="1">
      <c r="A117" s="60"/>
      <c r="B117" s="60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4.25" customHeight="1">
      <c r="A118" s="60"/>
      <c r="B118" s="60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4.25" customHeight="1">
      <c r="A119" s="60"/>
      <c r="B119" s="60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4.25" customHeight="1">
      <c r="A120" s="60"/>
      <c r="B120" s="60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4.25" customHeight="1">
      <c r="A121" s="60"/>
      <c r="B121" s="60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4.25" customHeight="1">
      <c r="A122" s="60"/>
      <c r="B122" s="60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4.25" customHeight="1">
      <c r="A123" s="60"/>
      <c r="B123" s="60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4.25" customHeight="1">
      <c r="A124" s="60"/>
      <c r="B124" s="60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4.25" customHeight="1">
      <c r="A125" s="60"/>
      <c r="B125" s="60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4.25" customHeight="1">
      <c r="A126" s="60"/>
      <c r="B126" s="60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4.25" customHeight="1">
      <c r="A127" s="60"/>
      <c r="B127" s="60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4.25" customHeight="1">
      <c r="A128" s="60"/>
      <c r="B128" s="60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4.25" customHeight="1">
      <c r="A129" s="60"/>
      <c r="B129" s="60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4.25" customHeight="1">
      <c r="A130" s="60"/>
      <c r="B130" s="60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4.25" customHeight="1">
      <c r="A131" s="60"/>
      <c r="B131" s="60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4.25" customHeight="1">
      <c r="A132" s="60"/>
      <c r="B132" s="60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4.25" customHeight="1">
      <c r="A133" s="60"/>
      <c r="B133" s="60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4.25" customHeight="1">
      <c r="A134" s="60"/>
      <c r="B134" s="60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4.25" customHeight="1">
      <c r="A135" s="60"/>
      <c r="B135" s="60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4.25" customHeight="1">
      <c r="A136" s="60"/>
      <c r="B136" s="60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4.25" customHeight="1">
      <c r="A137" s="60"/>
      <c r="B137" s="60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4.25" customHeight="1">
      <c r="A138" s="60"/>
      <c r="B138" s="60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4.25" customHeight="1">
      <c r="A139" s="60"/>
      <c r="B139" s="60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4.25" customHeight="1">
      <c r="A140" s="60"/>
      <c r="B140" s="60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4.25" customHeight="1">
      <c r="A141" s="60"/>
      <c r="B141" s="60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4.25" customHeight="1">
      <c r="A142" s="60"/>
      <c r="B142" s="60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4.25" customHeight="1">
      <c r="A143" s="60"/>
      <c r="B143" s="60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4.25" customHeight="1">
      <c r="A144" s="60"/>
      <c r="B144" s="60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4.25" customHeight="1">
      <c r="A145" s="60"/>
      <c r="B145" s="60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4.25" customHeight="1">
      <c r="A146" s="60"/>
      <c r="B146" s="60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4.25" customHeight="1">
      <c r="A147" s="60"/>
      <c r="B147" s="60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4.25" customHeight="1">
      <c r="A148" s="60"/>
      <c r="B148" s="60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4.25" customHeight="1">
      <c r="A149" s="60"/>
      <c r="B149" s="60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4.25" customHeight="1">
      <c r="A150" s="60"/>
      <c r="B150" s="60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4.25" customHeight="1">
      <c r="A151" s="60"/>
      <c r="B151" s="60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4.25" customHeight="1">
      <c r="A152" s="60"/>
      <c r="B152" s="60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4.25" customHeight="1">
      <c r="A153" s="60"/>
      <c r="B153" s="60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4.25" customHeight="1">
      <c r="A154" s="60"/>
      <c r="B154" s="60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4.25" customHeight="1">
      <c r="A155" s="60"/>
      <c r="B155" s="60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4.25" customHeight="1">
      <c r="A156" s="60"/>
      <c r="B156" s="60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4.25" customHeight="1">
      <c r="A157" s="60"/>
      <c r="B157" s="60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4.25" customHeight="1">
      <c r="A158" s="60"/>
      <c r="B158" s="60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4.25" customHeight="1">
      <c r="A159" s="60"/>
      <c r="B159" s="60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4.25" customHeight="1">
      <c r="A160" s="60"/>
      <c r="B160" s="60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4.25" customHeight="1">
      <c r="A161" s="60"/>
      <c r="B161" s="60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4.25" customHeight="1">
      <c r="A162" s="60"/>
      <c r="B162" s="60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4.25" customHeight="1">
      <c r="A163" s="60"/>
      <c r="B163" s="60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4.25" customHeight="1">
      <c r="A164" s="60"/>
      <c r="B164" s="60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4.25" customHeight="1">
      <c r="A165" s="60"/>
      <c r="B165" s="60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4.25" customHeight="1">
      <c r="A166" s="60"/>
      <c r="B166" s="60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4.25" customHeight="1">
      <c r="A167" s="60"/>
      <c r="B167" s="60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4.25" customHeight="1">
      <c r="A168" s="60"/>
      <c r="B168" s="60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4.25" customHeight="1">
      <c r="A169" s="60"/>
      <c r="B169" s="60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4.25" customHeight="1">
      <c r="A170" s="60"/>
      <c r="B170" s="60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4.25" customHeight="1">
      <c r="A171" s="60"/>
      <c r="B171" s="60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4.25" customHeight="1">
      <c r="A172" s="60"/>
      <c r="B172" s="60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4.25" customHeight="1">
      <c r="A173" s="60"/>
      <c r="B173" s="60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4.25" customHeight="1">
      <c r="A174" s="60"/>
      <c r="B174" s="60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4.25" customHeight="1">
      <c r="A175" s="60"/>
      <c r="B175" s="60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4.25" customHeight="1">
      <c r="A176" s="60"/>
      <c r="B176" s="60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4.25" customHeight="1">
      <c r="A177" s="60"/>
      <c r="B177" s="60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4.25" customHeight="1">
      <c r="A178" s="60"/>
      <c r="B178" s="60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4.25" customHeight="1">
      <c r="A179" s="60"/>
      <c r="B179" s="60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4.25" customHeight="1">
      <c r="A180" s="60"/>
      <c r="B180" s="60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4.25" customHeight="1">
      <c r="A181" s="60"/>
      <c r="B181" s="60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4.25" customHeight="1">
      <c r="A182" s="60"/>
      <c r="B182" s="60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4.25" customHeight="1">
      <c r="A183" s="60"/>
      <c r="B183" s="60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4.25" customHeight="1">
      <c r="A184" s="60"/>
      <c r="B184" s="60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4.25" customHeight="1">
      <c r="A185" s="60"/>
      <c r="B185" s="60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4.25" customHeight="1">
      <c r="A186" s="60"/>
      <c r="B186" s="60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4.25" customHeight="1">
      <c r="A187" s="60"/>
      <c r="B187" s="60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4.25" customHeight="1">
      <c r="A188" s="60"/>
      <c r="B188" s="60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4.25" customHeight="1">
      <c r="A189" s="60"/>
      <c r="B189" s="60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4.25" customHeight="1">
      <c r="A190" s="60"/>
      <c r="B190" s="60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4.25" customHeight="1">
      <c r="A191" s="60"/>
      <c r="B191" s="60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4.25" customHeight="1">
      <c r="A192" s="60"/>
      <c r="B192" s="60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4.25" customHeight="1">
      <c r="A193" s="60"/>
      <c r="B193" s="60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4.25" customHeight="1">
      <c r="A194" s="60"/>
      <c r="B194" s="60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4.25" customHeight="1">
      <c r="A195" s="60"/>
      <c r="B195" s="60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4.25" customHeight="1">
      <c r="A196" s="60"/>
      <c r="B196" s="60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4.25" customHeight="1">
      <c r="A197" s="60"/>
      <c r="B197" s="60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4.25" customHeight="1">
      <c r="A198" s="60"/>
      <c r="B198" s="60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4.25" customHeight="1">
      <c r="A199" s="60"/>
      <c r="B199" s="60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4.25" customHeight="1">
      <c r="A200" s="60"/>
      <c r="B200" s="60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4.25" customHeight="1">
      <c r="A201" s="60"/>
      <c r="B201" s="60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4.25" customHeight="1">
      <c r="A202" s="60"/>
      <c r="B202" s="60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4.25" customHeight="1">
      <c r="A203" s="60"/>
      <c r="B203" s="60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4.25" customHeight="1">
      <c r="A204" s="60"/>
      <c r="B204" s="60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4.25" customHeight="1">
      <c r="A205" s="60"/>
      <c r="B205" s="60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4.25" customHeight="1">
      <c r="A206" s="60"/>
      <c r="B206" s="60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4.25" customHeight="1">
      <c r="A207" s="60"/>
      <c r="B207" s="60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4.25" customHeight="1">
      <c r="A208" s="60"/>
      <c r="B208" s="60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4.25" customHeight="1">
      <c r="A209" s="60"/>
      <c r="B209" s="60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4.25" customHeight="1">
      <c r="A210" s="60"/>
      <c r="B210" s="60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4.25" customHeight="1">
      <c r="A211" s="60"/>
      <c r="B211" s="60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4.25" customHeight="1">
      <c r="A212" s="60"/>
      <c r="B212" s="60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4.25" customHeight="1">
      <c r="A213" s="60"/>
      <c r="B213" s="60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4.25" customHeight="1">
      <c r="A214" s="60"/>
      <c r="B214" s="60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4.25" customHeight="1">
      <c r="A215" s="60"/>
      <c r="B215" s="60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4.25" customHeight="1">
      <c r="A216" s="60"/>
      <c r="B216" s="60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4.25" customHeight="1">
      <c r="A217" s="60"/>
      <c r="B217" s="60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4.25" customHeight="1">
      <c r="A218" s="60"/>
      <c r="B218" s="60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4.25" customHeight="1">
      <c r="A219" s="60"/>
      <c r="B219" s="60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4.25" customHeight="1">
      <c r="A220" s="60"/>
      <c r="B220" s="60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4.25" customHeight="1">
      <c r="A221" s="60"/>
      <c r="B221" s="60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4.25" customHeight="1">
      <c r="A222" s="60"/>
      <c r="B222" s="60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4.25" customHeight="1">
      <c r="A223" s="60"/>
      <c r="B223" s="60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4.25" customHeight="1">
      <c r="A224" s="60"/>
      <c r="B224" s="60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4.25" customHeight="1">
      <c r="A225" s="60"/>
      <c r="B225" s="60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4.25" customHeight="1">
      <c r="A226" s="60"/>
      <c r="B226" s="60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4.25" customHeight="1">
      <c r="A227" s="60"/>
      <c r="B227" s="60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4.25" customHeight="1">
      <c r="A228" s="60"/>
      <c r="B228" s="60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4.25" customHeight="1">
      <c r="A229" s="60"/>
      <c r="B229" s="60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4.25" customHeight="1">
      <c r="A230" s="60"/>
      <c r="B230" s="60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4.25" customHeight="1">
      <c r="A231" s="60"/>
      <c r="B231" s="60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4.25" customHeight="1">
      <c r="A232" s="60"/>
      <c r="B232" s="60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4.25" customHeight="1">
      <c r="A233" s="60"/>
      <c r="B233" s="60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4.25" customHeight="1">
      <c r="A234" s="60"/>
      <c r="B234" s="60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4.25" customHeight="1">
      <c r="A235" s="60"/>
      <c r="B235" s="60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4.25" customHeight="1">
      <c r="A236" s="60"/>
      <c r="B236" s="60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4.25" customHeight="1">
      <c r="A237" s="60"/>
      <c r="B237" s="60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4.25" customHeight="1">
      <c r="A238" s="60"/>
      <c r="B238" s="60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4.25" customHeight="1">
      <c r="A239" s="60"/>
      <c r="B239" s="60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4.25" customHeight="1">
      <c r="A240" s="60"/>
      <c r="B240" s="60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4.25" customHeight="1">
      <c r="A241" s="60"/>
      <c r="B241" s="60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4.25" customHeight="1">
      <c r="A242" s="60"/>
      <c r="B242" s="60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4.25" customHeight="1">
      <c r="A243" s="60"/>
      <c r="B243" s="60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4.25" customHeight="1">
      <c r="A244" s="60"/>
      <c r="B244" s="60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4.25" customHeight="1">
      <c r="A245" s="60"/>
      <c r="B245" s="60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4.25" customHeight="1">
      <c r="A246" s="60"/>
      <c r="B246" s="60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4.25" customHeight="1">
      <c r="A247" s="60"/>
      <c r="B247" s="60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4.25" customHeight="1">
      <c r="A248" s="60"/>
      <c r="B248" s="60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4.25" customHeight="1">
      <c r="A249" s="60"/>
      <c r="B249" s="60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4.25" customHeight="1">
      <c r="A250" s="60"/>
      <c r="B250" s="60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4.25" customHeight="1">
      <c r="A251" s="60"/>
      <c r="B251" s="60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4.25" customHeight="1">
      <c r="A252" s="60"/>
      <c r="B252" s="60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4.25" customHeight="1">
      <c r="A253" s="60"/>
      <c r="B253" s="60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4.25" customHeight="1">
      <c r="A254" s="60"/>
      <c r="B254" s="60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4.25" customHeight="1">
      <c r="A255" s="60"/>
      <c r="B255" s="60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4.25" customHeight="1">
      <c r="A256" s="60"/>
      <c r="B256" s="60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4.25" customHeight="1">
      <c r="A257" s="60"/>
      <c r="B257" s="60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4.25" customHeight="1">
      <c r="A258" s="60"/>
      <c r="B258" s="60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4.25" customHeight="1">
      <c r="A259" s="60"/>
      <c r="B259" s="60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4.25" customHeight="1">
      <c r="A260" s="60"/>
      <c r="B260" s="60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4.25" customHeight="1">
      <c r="A261" s="60"/>
      <c r="B261" s="60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4.25" customHeight="1">
      <c r="A262" s="60"/>
      <c r="B262" s="60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4.25" customHeight="1">
      <c r="A263" s="60"/>
      <c r="B263" s="60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4.25" customHeight="1">
      <c r="A264" s="60"/>
      <c r="B264" s="60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4.25" customHeight="1">
      <c r="A265" s="60"/>
      <c r="B265" s="60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4.25" customHeight="1">
      <c r="A266" s="60"/>
      <c r="B266" s="60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4.25" customHeight="1">
      <c r="A267" s="60"/>
      <c r="B267" s="60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4.25" customHeight="1">
      <c r="A268" s="60"/>
      <c r="B268" s="60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4.25" customHeight="1">
      <c r="A269" s="60"/>
      <c r="B269" s="60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4.25" customHeight="1">
      <c r="A270" s="60"/>
      <c r="B270" s="60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4.25" customHeight="1">
      <c r="A271" s="60"/>
      <c r="B271" s="60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4.25" customHeight="1">
      <c r="A272" s="60"/>
      <c r="B272" s="60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4.25" customHeight="1">
      <c r="A273" s="60"/>
      <c r="B273" s="60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4.25" customHeight="1">
      <c r="A274" s="60"/>
      <c r="B274" s="60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4.25" customHeight="1">
      <c r="A275" s="60"/>
      <c r="B275" s="60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4.25" customHeight="1">
      <c r="A276" s="60"/>
      <c r="B276" s="60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4.25" customHeight="1">
      <c r="A277" s="60"/>
      <c r="B277" s="60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4.25" customHeight="1">
      <c r="A278" s="60"/>
      <c r="B278" s="60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4.25" customHeight="1">
      <c r="A279" s="60"/>
      <c r="B279" s="60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4.25" customHeight="1">
      <c r="A280" s="60"/>
      <c r="B280" s="60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4.25" customHeight="1">
      <c r="A281" s="60"/>
      <c r="B281" s="60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4.25" customHeight="1">
      <c r="A282" s="60"/>
      <c r="B282" s="60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4.25" customHeight="1">
      <c r="A283" s="60"/>
      <c r="B283" s="60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4.25" customHeight="1">
      <c r="A284" s="60"/>
      <c r="B284" s="60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4.25" customHeight="1">
      <c r="A285" s="60"/>
      <c r="B285" s="60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4.25" customHeight="1">
      <c r="A286" s="60"/>
      <c r="B286" s="60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4.25" customHeight="1">
      <c r="A287" s="60"/>
      <c r="B287" s="60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4.25" customHeight="1">
      <c r="A288" s="60"/>
      <c r="B288" s="60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4.25" customHeight="1">
      <c r="A289" s="60"/>
      <c r="B289" s="60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4.25" customHeight="1">
      <c r="A290" s="60"/>
      <c r="B290" s="60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4.25" customHeight="1">
      <c r="A291" s="60"/>
      <c r="B291" s="60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4.25" customHeight="1">
      <c r="A292" s="60"/>
      <c r="B292" s="60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4.25" customHeight="1">
      <c r="A293" s="60"/>
      <c r="B293" s="60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4.25" customHeight="1">
      <c r="A294" s="60"/>
      <c r="B294" s="60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4.25" customHeight="1">
      <c r="A295" s="60"/>
      <c r="B295" s="60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4.25" customHeight="1">
      <c r="A296" s="60"/>
      <c r="B296" s="60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4.25" customHeight="1">
      <c r="A297" s="60"/>
      <c r="B297" s="60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4.25" customHeight="1">
      <c r="A298" s="60"/>
      <c r="B298" s="60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4.25" customHeight="1">
      <c r="A299" s="60"/>
      <c r="B299" s="60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4.25" customHeight="1">
      <c r="A300" s="60"/>
      <c r="B300" s="60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4.25" customHeight="1">
      <c r="A301" s="60"/>
      <c r="B301" s="60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4.25" customHeight="1">
      <c r="A302" s="60"/>
      <c r="B302" s="60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4.25" customHeight="1">
      <c r="A303" s="60"/>
      <c r="B303" s="60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4.25" customHeight="1">
      <c r="A304" s="60"/>
      <c r="B304" s="60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4.25" customHeight="1">
      <c r="A305" s="60"/>
      <c r="B305" s="60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4.25" customHeight="1">
      <c r="A306" s="60"/>
      <c r="B306" s="60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4.25" customHeight="1">
      <c r="A307" s="60"/>
      <c r="B307" s="60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4.25" customHeight="1">
      <c r="A308" s="60"/>
      <c r="B308" s="60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4.25" customHeight="1">
      <c r="A309" s="60"/>
      <c r="B309" s="60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4.25" customHeight="1">
      <c r="A310" s="60"/>
      <c r="B310" s="60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4.25" customHeight="1">
      <c r="A311" s="60"/>
      <c r="B311" s="60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4.25" customHeight="1">
      <c r="A312" s="60"/>
      <c r="B312" s="60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4.25" customHeight="1">
      <c r="A313" s="60"/>
      <c r="B313" s="60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4.25" customHeight="1">
      <c r="A314" s="60"/>
      <c r="B314" s="60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4.25" customHeight="1">
      <c r="A315" s="60"/>
      <c r="B315" s="60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4.25" customHeight="1">
      <c r="A316" s="60"/>
      <c r="B316" s="60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4.25" customHeight="1">
      <c r="A317" s="60"/>
      <c r="B317" s="60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4.25" customHeight="1">
      <c r="A318" s="60"/>
      <c r="B318" s="60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4.25" customHeight="1">
      <c r="A319" s="60"/>
      <c r="B319" s="60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4.25" customHeight="1">
      <c r="A320" s="60"/>
      <c r="B320" s="60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4.25" customHeight="1">
      <c r="A321" s="60"/>
      <c r="B321" s="60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4.25" customHeight="1">
      <c r="A322" s="60"/>
      <c r="B322" s="60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4.25" customHeight="1">
      <c r="A323" s="60"/>
      <c r="B323" s="60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4.25" customHeight="1">
      <c r="A324" s="60"/>
      <c r="B324" s="60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4.25" customHeight="1">
      <c r="A325" s="60"/>
      <c r="B325" s="60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4.25" customHeight="1">
      <c r="A326" s="60"/>
      <c r="B326" s="60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4.25" customHeight="1">
      <c r="A327" s="60"/>
      <c r="B327" s="60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4.25" customHeight="1">
      <c r="A328" s="60"/>
      <c r="B328" s="60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4.25" customHeight="1">
      <c r="A329" s="60"/>
      <c r="B329" s="60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4.25" customHeight="1">
      <c r="A330" s="60"/>
      <c r="B330" s="60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4.25" customHeight="1">
      <c r="A331" s="60"/>
      <c r="B331" s="60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4.25" customHeight="1">
      <c r="A332" s="60"/>
      <c r="B332" s="60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4.25" customHeight="1">
      <c r="A333" s="60"/>
      <c r="B333" s="60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4.25" customHeight="1">
      <c r="A334" s="60"/>
      <c r="B334" s="60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4.25" customHeight="1">
      <c r="A335" s="60"/>
      <c r="B335" s="60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4.25" customHeight="1">
      <c r="A336" s="60"/>
      <c r="B336" s="60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4.25" customHeight="1">
      <c r="A337" s="60"/>
      <c r="B337" s="60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4.25" customHeight="1">
      <c r="A338" s="60"/>
      <c r="B338" s="60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4.25" customHeight="1">
      <c r="A339" s="60"/>
      <c r="B339" s="60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4.25" customHeight="1">
      <c r="A340" s="60"/>
      <c r="B340" s="60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4.25" customHeight="1">
      <c r="A341" s="60"/>
      <c r="B341" s="60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4.25" customHeight="1">
      <c r="A342" s="60"/>
      <c r="B342" s="60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4.25" customHeight="1">
      <c r="A343" s="60"/>
      <c r="B343" s="60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4.25" customHeight="1">
      <c r="A344" s="60"/>
      <c r="B344" s="60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4.25" customHeight="1">
      <c r="A345" s="60"/>
      <c r="B345" s="60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4.25" customHeight="1">
      <c r="A346" s="60"/>
      <c r="B346" s="60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4.25" customHeight="1">
      <c r="A347" s="60"/>
      <c r="B347" s="60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4.25" customHeight="1">
      <c r="A348" s="60"/>
      <c r="B348" s="60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4.25" customHeight="1">
      <c r="A349" s="60"/>
      <c r="B349" s="60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4.25" customHeight="1">
      <c r="A350" s="60"/>
      <c r="B350" s="60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4.25" customHeight="1">
      <c r="A351" s="60"/>
      <c r="B351" s="60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4.25" customHeight="1">
      <c r="A352" s="60"/>
      <c r="B352" s="60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4.25" customHeight="1">
      <c r="A353" s="60"/>
      <c r="B353" s="60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4.25" customHeight="1">
      <c r="A354" s="60"/>
      <c r="B354" s="60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4.25" customHeight="1">
      <c r="A355" s="60"/>
      <c r="B355" s="60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4.25" customHeight="1">
      <c r="A356" s="60"/>
      <c r="B356" s="60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4.25" customHeight="1">
      <c r="A357" s="60"/>
      <c r="B357" s="60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4.25" customHeight="1">
      <c r="A358" s="60"/>
      <c r="B358" s="60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4.25" customHeight="1">
      <c r="A359" s="60"/>
      <c r="B359" s="60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4.25" customHeight="1">
      <c r="A360" s="60"/>
      <c r="B360" s="60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4.25" customHeight="1">
      <c r="A361" s="60"/>
      <c r="B361" s="60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4.25" customHeight="1">
      <c r="A362" s="60"/>
      <c r="B362" s="60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4.25" customHeight="1">
      <c r="A363" s="60"/>
      <c r="B363" s="60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4.25" customHeight="1">
      <c r="A364" s="60"/>
      <c r="B364" s="60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4.25" customHeight="1">
      <c r="A365" s="60"/>
      <c r="B365" s="60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4.25" customHeight="1">
      <c r="A366" s="60"/>
      <c r="B366" s="60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4.25" customHeight="1">
      <c r="A367" s="60"/>
      <c r="B367" s="60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4.25" customHeight="1">
      <c r="A368" s="60"/>
      <c r="B368" s="60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4.25" customHeight="1">
      <c r="A369" s="60"/>
      <c r="B369" s="60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4.25" customHeight="1">
      <c r="A370" s="60"/>
      <c r="B370" s="60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4.25" customHeight="1">
      <c r="A371" s="60"/>
      <c r="B371" s="60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4.25" customHeight="1">
      <c r="A372" s="60"/>
      <c r="B372" s="60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4.25" customHeight="1">
      <c r="A373" s="60"/>
      <c r="B373" s="60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4.25" customHeight="1">
      <c r="A374" s="60"/>
      <c r="B374" s="60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4.25" customHeight="1">
      <c r="A375" s="60"/>
      <c r="B375" s="60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4.25" customHeight="1">
      <c r="A376" s="60"/>
      <c r="B376" s="60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4.25" customHeight="1">
      <c r="A377" s="60"/>
      <c r="B377" s="60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4.25" customHeight="1">
      <c r="A378" s="60"/>
      <c r="B378" s="60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4.25" customHeight="1">
      <c r="A379" s="60"/>
      <c r="B379" s="60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4.25" customHeight="1">
      <c r="A380" s="60"/>
      <c r="B380" s="60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4.25" customHeight="1">
      <c r="A381" s="60"/>
      <c r="B381" s="60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4.25" customHeight="1">
      <c r="A382" s="60"/>
      <c r="B382" s="60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4.25" customHeight="1">
      <c r="A383" s="60"/>
      <c r="B383" s="60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4.25" customHeight="1">
      <c r="A384" s="60"/>
      <c r="B384" s="60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4.25" customHeight="1">
      <c r="A385" s="60"/>
      <c r="B385" s="60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4.25" customHeight="1">
      <c r="A386" s="60"/>
      <c r="B386" s="60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4.25" customHeight="1">
      <c r="A387" s="60"/>
      <c r="B387" s="60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4.25" customHeight="1">
      <c r="A388" s="60"/>
      <c r="B388" s="60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4.25" customHeight="1">
      <c r="A389" s="60"/>
      <c r="B389" s="60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4.25" customHeight="1">
      <c r="A390" s="60"/>
      <c r="B390" s="60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4.25" customHeight="1">
      <c r="A391" s="60"/>
      <c r="B391" s="60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4.25" customHeight="1">
      <c r="A392" s="60"/>
      <c r="B392" s="60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4.25" customHeight="1">
      <c r="A393" s="60"/>
      <c r="B393" s="60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4.25" customHeight="1">
      <c r="A394" s="60"/>
      <c r="B394" s="60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4.25" customHeight="1">
      <c r="A395" s="60"/>
      <c r="B395" s="60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4.25" customHeight="1">
      <c r="A396" s="60"/>
      <c r="B396" s="60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4.25" customHeight="1">
      <c r="A397" s="60"/>
      <c r="B397" s="60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4.25" customHeight="1">
      <c r="A398" s="60"/>
      <c r="B398" s="60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4.25" customHeight="1">
      <c r="A399" s="60"/>
      <c r="B399" s="60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4.25" customHeight="1">
      <c r="A400" s="60"/>
      <c r="B400" s="60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4.25" customHeight="1">
      <c r="A401" s="60"/>
      <c r="B401" s="60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4.25" customHeight="1">
      <c r="A402" s="60"/>
      <c r="B402" s="60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4.25" customHeight="1">
      <c r="A403" s="60"/>
      <c r="B403" s="60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4.25" customHeight="1">
      <c r="A404" s="60"/>
      <c r="B404" s="60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4.25" customHeight="1">
      <c r="A405" s="60"/>
      <c r="B405" s="60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4.25" customHeight="1">
      <c r="A406" s="60"/>
      <c r="B406" s="60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4.25" customHeight="1">
      <c r="A407" s="60"/>
      <c r="B407" s="60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4.25" customHeight="1">
      <c r="A408" s="60"/>
      <c r="B408" s="60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4.25" customHeight="1">
      <c r="A409" s="60"/>
      <c r="B409" s="60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4.25" customHeight="1">
      <c r="A410" s="60"/>
      <c r="B410" s="60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4.25" customHeight="1">
      <c r="A411" s="60"/>
      <c r="B411" s="60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4.25" customHeight="1">
      <c r="A412" s="60"/>
      <c r="B412" s="60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4.25" customHeight="1">
      <c r="A413" s="60"/>
      <c r="B413" s="60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4.25" customHeight="1">
      <c r="A414" s="60"/>
      <c r="B414" s="60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4.25" customHeight="1">
      <c r="A415" s="60"/>
      <c r="B415" s="60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4.25" customHeight="1">
      <c r="A416" s="60"/>
      <c r="B416" s="60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4.25" customHeight="1">
      <c r="A417" s="60"/>
      <c r="B417" s="60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4.25" customHeight="1">
      <c r="A418" s="60"/>
      <c r="B418" s="60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4.25" customHeight="1">
      <c r="A419" s="60"/>
      <c r="B419" s="60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4.25" customHeight="1">
      <c r="A420" s="60"/>
      <c r="B420" s="60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4.25" customHeight="1">
      <c r="A421" s="60"/>
      <c r="B421" s="60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4.25" customHeight="1">
      <c r="A422" s="60"/>
      <c r="B422" s="60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4.25" customHeight="1">
      <c r="A423" s="60"/>
      <c r="B423" s="60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4.25" customHeight="1">
      <c r="A424" s="60"/>
      <c r="B424" s="60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4.25" customHeight="1">
      <c r="A425" s="60"/>
      <c r="B425" s="60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4.25" customHeight="1">
      <c r="A426" s="60"/>
      <c r="B426" s="60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4.25" customHeight="1">
      <c r="A427" s="60"/>
      <c r="B427" s="60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4.25" customHeight="1">
      <c r="A428" s="60"/>
      <c r="B428" s="60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4.25" customHeight="1">
      <c r="A429" s="60"/>
      <c r="B429" s="60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4.25" customHeight="1">
      <c r="A430" s="60"/>
      <c r="B430" s="60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4.25" customHeight="1">
      <c r="A431" s="60"/>
      <c r="B431" s="60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4.25" customHeight="1">
      <c r="A432" s="60"/>
      <c r="B432" s="60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4.25" customHeight="1">
      <c r="A433" s="60"/>
      <c r="B433" s="60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4.25" customHeight="1">
      <c r="A434" s="60"/>
      <c r="B434" s="60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4.25" customHeight="1">
      <c r="A435" s="60"/>
      <c r="B435" s="60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4.25" customHeight="1">
      <c r="A436" s="60"/>
      <c r="B436" s="60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4.25" customHeight="1">
      <c r="A437" s="60"/>
      <c r="B437" s="60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4.25" customHeight="1">
      <c r="A438" s="60"/>
      <c r="B438" s="60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4.25" customHeight="1">
      <c r="A439" s="60"/>
      <c r="B439" s="60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4.25" customHeight="1">
      <c r="A440" s="60"/>
      <c r="B440" s="60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4.25" customHeight="1">
      <c r="A441" s="60"/>
      <c r="B441" s="60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4.25" customHeight="1">
      <c r="A442" s="60"/>
      <c r="B442" s="60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4.25" customHeight="1">
      <c r="A443" s="60"/>
      <c r="B443" s="60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4.25" customHeight="1">
      <c r="A444" s="60"/>
      <c r="B444" s="60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4.25" customHeight="1">
      <c r="A445" s="60"/>
      <c r="B445" s="60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4.25" customHeight="1">
      <c r="A446" s="60"/>
      <c r="B446" s="60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4.25" customHeight="1">
      <c r="A447" s="60"/>
      <c r="B447" s="60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4.25" customHeight="1">
      <c r="A448" s="60"/>
      <c r="B448" s="60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4.25" customHeight="1">
      <c r="A449" s="60"/>
      <c r="B449" s="60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4.25" customHeight="1">
      <c r="A450" s="60"/>
      <c r="B450" s="60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4.25" customHeight="1">
      <c r="A451" s="60"/>
      <c r="B451" s="60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4.25" customHeight="1">
      <c r="A452" s="60"/>
      <c r="B452" s="60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4.25" customHeight="1">
      <c r="A453" s="60"/>
      <c r="B453" s="60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4.25" customHeight="1">
      <c r="A454" s="60"/>
      <c r="B454" s="60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4.25" customHeight="1">
      <c r="A455" s="60"/>
      <c r="B455" s="60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4.25" customHeight="1">
      <c r="A456" s="60"/>
      <c r="B456" s="60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4.25" customHeight="1">
      <c r="A457" s="60"/>
      <c r="B457" s="60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4.25" customHeight="1">
      <c r="A458" s="60"/>
      <c r="B458" s="60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4.25" customHeight="1">
      <c r="A459" s="60"/>
      <c r="B459" s="60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4.25" customHeight="1">
      <c r="A460" s="60"/>
      <c r="B460" s="60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4.25" customHeight="1">
      <c r="A461" s="60"/>
      <c r="B461" s="60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4.25" customHeight="1">
      <c r="A462" s="60"/>
      <c r="B462" s="60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4.25" customHeight="1">
      <c r="A463" s="60"/>
      <c r="B463" s="60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4.25" customHeight="1">
      <c r="A464" s="60"/>
      <c r="B464" s="60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4.25" customHeight="1">
      <c r="A465" s="60"/>
      <c r="B465" s="60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4.25" customHeight="1">
      <c r="A466" s="60"/>
      <c r="B466" s="60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4.25" customHeight="1">
      <c r="A467" s="60"/>
      <c r="B467" s="60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4.25" customHeight="1">
      <c r="A468" s="60"/>
      <c r="B468" s="60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4.25" customHeight="1">
      <c r="A469" s="60"/>
      <c r="B469" s="60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4.25" customHeight="1">
      <c r="A470" s="60"/>
      <c r="B470" s="60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4.25" customHeight="1">
      <c r="A471" s="60"/>
      <c r="B471" s="60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4.25" customHeight="1">
      <c r="A472" s="60"/>
      <c r="B472" s="60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4.25" customHeight="1">
      <c r="A473" s="60"/>
      <c r="B473" s="60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4.25" customHeight="1">
      <c r="A474" s="60"/>
      <c r="B474" s="60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4.25" customHeight="1">
      <c r="A475" s="60"/>
      <c r="B475" s="60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4.25" customHeight="1">
      <c r="A476" s="60"/>
      <c r="B476" s="60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4.25" customHeight="1">
      <c r="A477" s="60"/>
      <c r="B477" s="60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4.25" customHeight="1">
      <c r="A478" s="60"/>
      <c r="B478" s="60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4.25" customHeight="1">
      <c r="A479" s="60"/>
      <c r="B479" s="60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4.25" customHeight="1">
      <c r="A480" s="60"/>
      <c r="B480" s="60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4.25" customHeight="1">
      <c r="A481" s="60"/>
      <c r="B481" s="60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4.25" customHeight="1">
      <c r="A482" s="60"/>
      <c r="B482" s="60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4.25" customHeight="1">
      <c r="A483" s="60"/>
      <c r="B483" s="60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4.25" customHeight="1">
      <c r="A484" s="60"/>
      <c r="B484" s="60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4.25" customHeight="1">
      <c r="A485" s="60"/>
      <c r="B485" s="60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4.25" customHeight="1">
      <c r="A486" s="60"/>
      <c r="B486" s="60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4.25" customHeight="1">
      <c r="A487" s="60"/>
      <c r="B487" s="60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4.25" customHeight="1">
      <c r="A488" s="60"/>
      <c r="B488" s="60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4.25" customHeight="1">
      <c r="A489" s="60"/>
      <c r="B489" s="60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4.25" customHeight="1">
      <c r="A490" s="60"/>
      <c r="B490" s="60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4.25" customHeight="1">
      <c r="A491" s="60"/>
      <c r="B491" s="60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4.25" customHeight="1">
      <c r="A492" s="60"/>
      <c r="B492" s="60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4.25" customHeight="1">
      <c r="A493" s="60"/>
      <c r="B493" s="60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4.25" customHeight="1">
      <c r="A494" s="60"/>
      <c r="B494" s="60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4.25" customHeight="1">
      <c r="A495" s="60"/>
      <c r="B495" s="60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4.25" customHeight="1">
      <c r="A496" s="60"/>
      <c r="B496" s="60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4.25" customHeight="1">
      <c r="A497" s="60"/>
      <c r="B497" s="60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4.25" customHeight="1">
      <c r="A498" s="60"/>
      <c r="B498" s="60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4.25" customHeight="1">
      <c r="A499" s="60"/>
      <c r="B499" s="60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4.25" customHeight="1">
      <c r="A500" s="60"/>
      <c r="B500" s="60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4.25" customHeight="1">
      <c r="A501" s="60"/>
      <c r="B501" s="60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4.25" customHeight="1">
      <c r="A502" s="60"/>
      <c r="B502" s="60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4.25" customHeight="1">
      <c r="A503" s="60"/>
      <c r="B503" s="60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4.25" customHeight="1">
      <c r="A504" s="60"/>
      <c r="B504" s="60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4.25" customHeight="1">
      <c r="A505" s="60"/>
      <c r="B505" s="60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4.25" customHeight="1">
      <c r="A506" s="60"/>
      <c r="B506" s="60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4.25" customHeight="1">
      <c r="A507" s="60"/>
      <c r="B507" s="60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4.25" customHeight="1">
      <c r="A508" s="60"/>
      <c r="B508" s="60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4.25" customHeight="1">
      <c r="A509" s="60"/>
      <c r="B509" s="60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4.25" customHeight="1">
      <c r="A510" s="60"/>
      <c r="B510" s="60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4.25" customHeight="1">
      <c r="A511" s="60"/>
      <c r="B511" s="60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4.25" customHeight="1">
      <c r="A512" s="60"/>
      <c r="B512" s="60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4.25" customHeight="1">
      <c r="A513" s="60"/>
      <c r="B513" s="60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4.25" customHeight="1">
      <c r="A514" s="60"/>
      <c r="B514" s="60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4.25" customHeight="1">
      <c r="A515" s="60"/>
      <c r="B515" s="60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4.25" customHeight="1">
      <c r="A516" s="60"/>
      <c r="B516" s="60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4.25" customHeight="1">
      <c r="A517" s="60"/>
      <c r="B517" s="60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4.25" customHeight="1">
      <c r="A518" s="60"/>
      <c r="B518" s="60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4.25" customHeight="1">
      <c r="A519" s="60"/>
      <c r="B519" s="60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4.25" customHeight="1">
      <c r="A520" s="60"/>
      <c r="B520" s="60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4.25" customHeight="1">
      <c r="A521" s="60"/>
      <c r="B521" s="60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4.25" customHeight="1">
      <c r="A522" s="60"/>
      <c r="B522" s="60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4.25" customHeight="1">
      <c r="A523" s="60"/>
      <c r="B523" s="60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4.25" customHeight="1">
      <c r="A524" s="60"/>
      <c r="B524" s="60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4.25" customHeight="1">
      <c r="A525" s="60"/>
      <c r="B525" s="60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4.25" customHeight="1">
      <c r="A526" s="60"/>
      <c r="B526" s="60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4.25" customHeight="1">
      <c r="A527" s="60"/>
      <c r="B527" s="60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4.25" customHeight="1">
      <c r="A528" s="60"/>
      <c r="B528" s="60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4.25" customHeight="1">
      <c r="A529" s="60"/>
      <c r="B529" s="60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4.25" customHeight="1">
      <c r="A530" s="60"/>
      <c r="B530" s="60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4.25" customHeight="1">
      <c r="A531" s="60"/>
      <c r="B531" s="60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4.25" customHeight="1">
      <c r="A532" s="60"/>
      <c r="B532" s="60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4.25" customHeight="1">
      <c r="A533" s="60"/>
      <c r="B533" s="60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4.25" customHeight="1">
      <c r="A534" s="60"/>
      <c r="B534" s="60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4.25" customHeight="1">
      <c r="A535" s="60"/>
      <c r="B535" s="60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4.25" customHeight="1">
      <c r="A536" s="60"/>
      <c r="B536" s="60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4.25" customHeight="1">
      <c r="A537" s="60"/>
      <c r="B537" s="60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4.25" customHeight="1">
      <c r="A538" s="60"/>
      <c r="B538" s="60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4.25" customHeight="1">
      <c r="A539" s="60"/>
      <c r="B539" s="60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4.25" customHeight="1">
      <c r="A540" s="60"/>
      <c r="B540" s="60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4.25" customHeight="1">
      <c r="A541" s="60"/>
      <c r="B541" s="60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4.25" customHeight="1">
      <c r="A542" s="60"/>
      <c r="B542" s="60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4.25" customHeight="1">
      <c r="A543" s="60"/>
      <c r="B543" s="60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4.25" customHeight="1">
      <c r="A544" s="60"/>
      <c r="B544" s="60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4.25" customHeight="1">
      <c r="A545" s="60"/>
      <c r="B545" s="60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4.25" customHeight="1">
      <c r="A546" s="60"/>
      <c r="B546" s="60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4.25" customHeight="1">
      <c r="A547" s="60"/>
      <c r="B547" s="60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4.25" customHeight="1">
      <c r="A548" s="60"/>
      <c r="B548" s="60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4.25" customHeight="1">
      <c r="A549" s="60"/>
      <c r="B549" s="60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4.25" customHeight="1">
      <c r="A550" s="60"/>
      <c r="B550" s="60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4.25" customHeight="1">
      <c r="A551" s="60"/>
      <c r="B551" s="60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4.25" customHeight="1">
      <c r="A552" s="60"/>
      <c r="B552" s="60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4.25" customHeight="1">
      <c r="A553" s="60"/>
      <c r="B553" s="60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4.25" customHeight="1">
      <c r="A554" s="60"/>
      <c r="B554" s="60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4.25" customHeight="1">
      <c r="A555" s="60"/>
      <c r="B555" s="60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4.25" customHeight="1">
      <c r="A556" s="60"/>
      <c r="B556" s="60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4.25" customHeight="1">
      <c r="A557" s="60"/>
      <c r="B557" s="60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4.25" customHeight="1">
      <c r="A558" s="60"/>
      <c r="B558" s="60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4.25" customHeight="1">
      <c r="A559" s="60"/>
      <c r="B559" s="60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4.25" customHeight="1">
      <c r="A560" s="60"/>
      <c r="B560" s="60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4.25" customHeight="1">
      <c r="A561" s="60"/>
      <c r="B561" s="60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4.25" customHeight="1">
      <c r="A562" s="60"/>
      <c r="B562" s="60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4.25" customHeight="1">
      <c r="A563" s="60"/>
      <c r="B563" s="60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4.25" customHeight="1">
      <c r="A564" s="60"/>
      <c r="B564" s="60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4.25" customHeight="1">
      <c r="A565" s="60"/>
      <c r="B565" s="60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4.25" customHeight="1">
      <c r="A566" s="60"/>
      <c r="B566" s="60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4.25" customHeight="1">
      <c r="A567" s="60"/>
      <c r="B567" s="60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4.25" customHeight="1">
      <c r="A568" s="60"/>
      <c r="B568" s="60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4.25" customHeight="1">
      <c r="A569" s="60"/>
      <c r="B569" s="60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4.25" customHeight="1">
      <c r="A570" s="60"/>
      <c r="B570" s="60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4.25" customHeight="1">
      <c r="A571" s="60"/>
      <c r="B571" s="60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4.25" customHeight="1">
      <c r="A572" s="60"/>
      <c r="B572" s="60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4.25" customHeight="1">
      <c r="A573" s="60"/>
      <c r="B573" s="60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4.25" customHeight="1">
      <c r="A574" s="60"/>
      <c r="B574" s="60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4.25" customHeight="1">
      <c r="A575" s="60"/>
      <c r="B575" s="60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4.25" customHeight="1">
      <c r="A576" s="60"/>
      <c r="B576" s="60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4.25" customHeight="1">
      <c r="A577" s="60"/>
      <c r="B577" s="60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4.25" customHeight="1">
      <c r="A578" s="60"/>
      <c r="B578" s="60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4.25" customHeight="1">
      <c r="A579" s="60"/>
      <c r="B579" s="60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4.25" customHeight="1">
      <c r="A580" s="60"/>
      <c r="B580" s="60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4.25" customHeight="1">
      <c r="A581" s="60"/>
      <c r="B581" s="60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4.25" customHeight="1">
      <c r="A582" s="60"/>
      <c r="B582" s="60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4.25" customHeight="1">
      <c r="A583" s="60"/>
      <c r="B583" s="60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4.25" customHeight="1">
      <c r="A584" s="60"/>
      <c r="B584" s="60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4.25" customHeight="1">
      <c r="A585" s="60"/>
      <c r="B585" s="60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4.25" customHeight="1">
      <c r="A586" s="60"/>
      <c r="B586" s="60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4.25" customHeight="1">
      <c r="A587" s="60"/>
      <c r="B587" s="60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4.25" customHeight="1">
      <c r="A588" s="60"/>
      <c r="B588" s="60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4.25" customHeight="1">
      <c r="A589" s="60"/>
      <c r="B589" s="60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4.25" customHeight="1">
      <c r="A590" s="60"/>
      <c r="B590" s="60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4.25" customHeight="1">
      <c r="A591" s="60"/>
      <c r="B591" s="60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4.25" customHeight="1">
      <c r="A592" s="60"/>
      <c r="B592" s="60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4.25" customHeight="1">
      <c r="A593" s="60"/>
      <c r="B593" s="60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4.25" customHeight="1">
      <c r="A594" s="60"/>
      <c r="B594" s="60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4.25" customHeight="1">
      <c r="A595" s="60"/>
      <c r="B595" s="60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4.25" customHeight="1">
      <c r="A596" s="60"/>
      <c r="B596" s="60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4.25" customHeight="1">
      <c r="A597" s="60"/>
      <c r="B597" s="60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4.25" customHeight="1">
      <c r="A598" s="60"/>
      <c r="B598" s="60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4.25" customHeight="1">
      <c r="A599" s="60"/>
      <c r="B599" s="60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4.25" customHeight="1">
      <c r="A600" s="60"/>
      <c r="B600" s="60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4.25" customHeight="1">
      <c r="A601" s="60"/>
      <c r="B601" s="60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4.25" customHeight="1">
      <c r="A602" s="60"/>
      <c r="B602" s="60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4.25" customHeight="1">
      <c r="A603" s="60"/>
      <c r="B603" s="60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4.25" customHeight="1">
      <c r="A604" s="60"/>
      <c r="B604" s="60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4.25" customHeight="1">
      <c r="A605" s="60"/>
      <c r="B605" s="60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4.25" customHeight="1">
      <c r="A606" s="60"/>
      <c r="B606" s="60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4.25" customHeight="1">
      <c r="A607" s="60"/>
      <c r="B607" s="60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4.25" customHeight="1">
      <c r="A608" s="60"/>
      <c r="B608" s="60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4.25" customHeight="1">
      <c r="A609" s="60"/>
      <c r="B609" s="60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4.25" customHeight="1">
      <c r="A610" s="60"/>
      <c r="B610" s="60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4.25" customHeight="1">
      <c r="A611" s="60"/>
      <c r="B611" s="60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4.25" customHeight="1">
      <c r="A612" s="60"/>
      <c r="B612" s="60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4.25" customHeight="1">
      <c r="A613" s="60"/>
      <c r="B613" s="60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4.25" customHeight="1">
      <c r="A614" s="60"/>
      <c r="B614" s="60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4.25" customHeight="1">
      <c r="A615" s="60"/>
      <c r="B615" s="60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4.25" customHeight="1">
      <c r="A616" s="60"/>
      <c r="B616" s="60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4.25" customHeight="1">
      <c r="A617" s="60"/>
      <c r="B617" s="60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4.25" customHeight="1">
      <c r="A618" s="60"/>
      <c r="B618" s="60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4.25" customHeight="1">
      <c r="A619" s="60"/>
      <c r="B619" s="60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4.25" customHeight="1">
      <c r="A620" s="60"/>
      <c r="B620" s="60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4.25" customHeight="1">
      <c r="A621" s="60"/>
      <c r="B621" s="60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4.25" customHeight="1">
      <c r="A622" s="60"/>
      <c r="B622" s="60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4.25" customHeight="1">
      <c r="A623" s="60"/>
      <c r="B623" s="60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4.25" customHeight="1">
      <c r="A624" s="60"/>
      <c r="B624" s="60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4.25" customHeight="1">
      <c r="A625" s="60"/>
      <c r="B625" s="60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4.25" customHeight="1">
      <c r="A626" s="60"/>
      <c r="B626" s="60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4.25" customHeight="1">
      <c r="A627" s="60"/>
      <c r="B627" s="60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4.25" customHeight="1">
      <c r="A628" s="60"/>
      <c r="B628" s="60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4.25" customHeight="1">
      <c r="A629" s="60"/>
      <c r="B629" s="60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4.25" customHeight="1">
      <c r="A630" s="60"/>
      <c r="B630" s="60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4.25" customHeight="1">
      <c r="A631" s="60"/>
      <c r="B631" s="60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4.25" customHeight="1">
      <c r="A632" s="60"/>
      <c r="B632" s="60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4.25" customHeight="1">
      <c r="A633" s="60"/>
      <c r="B633" s="60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4.25" customHeight="1">
      <c r="A634" s="60"/>
      <c r="B634" s="60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4.25" customHeight="1">
      <c r="A635" s="60"/>
      <c r="B635" s="60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4.25" customHeight="1">
      <c r="A636" s="60"/>
      <c r="B636" s="60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4.25" customHeight="1">
      <c r="A637" s="60"/>
      <c r="B637" s="60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4.25" customHeight="1">
      <c r="A638" s="60"/>
      <c r="B638" s="60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4.25" customHeight="1">
      <c r="A639" s="60"/>
      <c r="B639" s="60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4.25" customHeight="1">
      <c r="A640" s="60"/>
      <c r="B640" s="60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4.25" customHeight="1">
      <c r="A641" s="60"/>
      <c r="B641" s="60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4.25" customHeight="1">
      <c r="A642" s="60"/>
      <c r="B642" s="60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4.25" customHeight="1">
      <c r="A643" s="60"/>
      <c r="B643" s="60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4.25" customHeight="1">
      <c r="A644" s="60"/>
      <c r="B644" s="60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4.25" customHeight="1">
      <c r="A645" s="60"/>
      <c r="B645" s="60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4.25" customHeight="1">
      <c r="A646" s="60"/>
      <c r="B646" s="60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4.25" customHeight="1">
      <c r="A647" s="60"/>
      <c r="B647" s="60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4.25" customHeight="1">
      <c r="A648" s="60"/>
      <c r="B648" s="60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4.25" customHeight="1">
      <c r="A649" s="60"/>
      <c r="B649" s="60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4.25" customHeight="1">
      <c r="A650" s="60"/>
      <c r="B650" s="60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4.25" customHeight="1">
      <c r="A651" s="60"/>
      <c r="B651" s="60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4.25" customHeight="1">
      <c r="A652" s="60"/>
      <c r="B652" s="60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4.25" customHeight="1">
      <c r="A653" s="60"/>
      <c r="B653" s="60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4.25" customHeight="1">
      <c r="A654" s="60"/>
      <c r="B654" s="60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4.25" customHeight="1">
      <c r="A655" s="60"/>
      <c r="B655" s="60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4.25" customHeight="1">
      <c r="A656" s="60"/>
      <c r="B656" s="60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4.25" customHeight="1">
      <c r="A657" s="60"/>
      <c r="B657" s="60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4.25" customHeight="1">
      <c r="A658" s="60"/>
      <c r="B658" s="60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4.25" customHeight="1">
      <c r="A659" s="60"/>
      <c r="B659" s="60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4.25" customHeight="1">
      <c r="A660" s="60"/>
      <c r="B660" s="60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4.25" customHeight="1">
      <c r="A661" s="60"/>
      <c r="B661" s="60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4.25" customHeight="1">
      <c r="A662" s="60"/>
      <c r="B662" s="60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4.25" customHeight="1">
      <c r="A663" s="60"/>
      <c r="B663" s="60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4.25" customHeight="1">
      <c r="A664" s="60"/>
      <c r="B664" s="60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4.25" customHeight="1">
      <c r="A665" s="60"/>
      <c r="B665" s="60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4.25" customHeight="1">
      <c r="A666" s="60"/>
      <c r="B666" s="60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4.25" customHeight="1">
      <c r="A667" s="60"/>
      <c r="B667" s="60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4.25" customHeight="1">
      <c r="A668" s="60"/>
      <c r="B668" s="60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4.25" customHeight="1">
      <c r="A669" s="60"/>
      <c r="B669" s="60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4.25" customHeight="1">
      <c r="A670" s="60"/>
      <c r="B670" s="60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4.25" customHeight="1">
      <c r="A671" s="60"/>
      <c r="B671" s="60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4.25" customHeight="1">
      <c r="A672" s="60"/>
      <c r="B672" s="60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4.25" customHeight="1">
      <c r="A673" s="60"/>
      <c r="B673" s="60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4.25" customHeight="1">
      <c r="A674" s="60"/>
      <c r="B674" s="60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4.25" customHeight="1">
      <c r="A675" s="60"/>
      <c r="B675" s="60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4.25" customHeight="1">
      <c r="A676" s="60"/>
      <c r="B676" s="60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4.25" customHeight="1">
      <c r="A677" s="60"/>
      <c r="B677" s="60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4.25" customHeight="1">
      <c r="A678" s="60"/>
      <c r="B678" s="60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4.25" customHeight="1">
      <c r="A679" s="60"/>
      <c r="B679" s="60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4.25" customHeight="1">
      <c r="A680" s="60"/>
      <c r="B680" s="60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4.25" customHeight="1">
      <c r="A681" s="60"/>
      <c r="B681" s="60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4.25" customHeight="1">
      <c r="A682" s="60"/>
      <c r="B682" s="60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4.25" customHeight="1">
      <c r="A683" s="60"/>
      <c r="B683" s="60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4.25" customHeight="1">
      <c r="A684" s="60"/>
      <c r="B684" s="60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4.25" customHeight="1">
      <c r="A685" s="60"/>
      <c r="B685" s="60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4.25" customHeight="1">
      <c r="A686" s="60"/>
      <c r="B686" s="60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4.25" customHeight="1">
      <c r="A687" s="60"/>
      <c r="B687" s="60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4.25" customHeight="1">
      <c r="A688" s="60"/>
      <c r="B688" s="60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4.25" customHeight="1">
      <c r="A689" s="60"/>
      <c r="B689" s="60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4.25" customHeight="1">
      <c r="A690" s="60"/>
      <c r="B690" s="60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4.25" customHeight="1">
      <c r="A691" s="60"/>
      <c r="B691" s="60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4.25" customHeight="1">
      <c r="A692" s="60"/>
      <c r="B692" s="60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4.25" customHeight="1">
      <c r="A693" s="60"/>
      <c r="B693" s="60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4.25" customHeight="1">
      <c r="A694" s="60"/>
      <c r="B694" s="60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4.25" customHeight="1">
      <c r="A695" s="60"/>
      <c r="B695" s="60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4.25" customHeight="1">
      <c r="A696" s="60"/>
      <c r="B696" s="60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4.25" customHeight="1">
      <c r="A697" s="60"/>
      <c r="B697" s="60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4.25" customHeight="1">
      <c r="A698" s="60"/>
      <c r="B698" s="60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4.25" customHeight="1">
      <c r="A699" s="60"/>
      <c r="B699" s="60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4.25" customHeight="1">
      <c r="A700" s="60"/>
      <c r="B700" s="60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4.25" customHeight="1">
      <c r="A701" s="60"/>
      <c r="B701" s="60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4.25" customHeight="1">
      <c r="A702" s="60"/>
      <c r="B702" s="60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4.25" customHeight="1">
      <c r="A703" s="60"/>
      <c r="B703" s="60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4.25" customHeight="1">
      <c r="A704" s="60"/>
      <c r="B704" s="60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4.25" customHeight="1">
      <c r="A705" s="60"/>
      <c r="B705" s="60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4.25" customHeight="1">
      <c r="A706" s="60"/>
      <c r="B706" s="60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4.25" customHeight="1">
      <c r="A707" s="60"/>
      <c r="B707" s="60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4.25" customHeight="1">
      <c r="A708" s="60"/>
      <c r="B708" s="60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4.25" customHeight="1">
      <c r="A709" s="60"/>
      <c r="B709" s="60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4.25" customHeight="1">
      <c r="A710" s="60"/>
      <c r="B710" s="60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4.25" customHeight="1">
      <c r="A711" s="60"/>
      <c r="B711" s="60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4.25" customHeight="1">
      <c r="A712" s="60"/>
      <c r="B712" s="60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4.25" customHeight="1">
      <c r="A713" s="60"/>
      <c r="B713" s="60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4.25" customHeight="1">
      <c r="A714" s="60"/>
      <c r="B714" s="60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4.25" customHeight="1">
      <c r="A715" s="60"/>
      <c r="B715" s="60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4.25" customHeight="1">
      <c r="A716" s="60"/>
      <c r="B716" s="60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4.25" customHeight="1">
      <c r="A717" s="60"/>
      <c r="B717" s="60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4.25" customHeight="1">
      <c r="A718" s="60"/>
      <c r="B718" s="60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4.25" customHeight="1">
      <c r="A719" s="60"/>
      <c r="B719" s="60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4.25" customHeight="1">
      <c r="A720" s="60"/>
      <c r="B720" s="60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4.25" customHeight="1">
      <c r="A721" s="60"/>
      <c r="B721" s="60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4.25" customHeight="1">
      <c r="A722" s="60"/>
      <c r="B722" s="60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4.25" customHeight="1">
      <c r="A723" s="60"/>
      <c r="B723" s="60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4.25" customHeight="1">
      <c r="A724" s="60"/>
      <c r="B724" s="60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4.25" customHeight="1">
      <c r="A725" s="60"/>
      <c r="B725" s="60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4.25" customHeight="1">
      <c r="A726" s="60"/>
      <c r="B726" s="60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4.25" customHeight="1">
      <c r="A727" s="60"/>
      <c r="B727" s="60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4.25" customHeight="1">
      <c r="A728" s="60"/>
      <c r="B728" s="60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4.25" customHeight="1">
      <c r="A729" s="60"/>
      <c r="B729" s="60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4.25" customHeight="1">
      <c r="A730" s="60"/>
      <c r="B730" s="60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4.25" customHeight="1">
      <c r="A731" s="60"/>
      <c r="B731" s="60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4.25" customHeight="1">
      <c r="A732" s="60"/>
      <c r="B732" s="60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4.25" customHeight="1">
      <c r="A733" s="60"/>
      <c r="B733" s="60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4.25" customHeight="1">
      <c r="A734" s="60"/>
      <c r="B734" s="60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4.25" customHeight="1">
      <c r="A735" s="60"/>
      <c r="B735" s="60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4.25" customHeight="1">
      <c r="A736" s="60"/>
      <c r="B736" s="60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4.25" customHeight="1">
      <c r="A737" s="60"/>
      <c r="B737" s="60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4.25" customHeight="1">
      <c r="A738" s="60"/>
      <c r="B738" s="60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4.25" customHeight="1">
      <c r="A739" s="60"/>
      <c r="B739" s="60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4.25" customHeight="1">
      <c r="A740" s="60"/>
      <c r="B740" s="60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4.25" customHeight="1">
      <c r="A741" s="60"/>
      <c r="B741" s="60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4.25" customHeight="1">
      <c r="A742" s="60"/>
      <c r="B742" s="60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4.25" customHeight="1">
      <c r="A743" s="60"/>
      <c r="B743" s="60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4.25" customHeight="1">
      <c r="A744" s="60"/>
      <c r="B744" s="60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4.25" customHeight="1">
      <c r="A745" s="60"/>
      <c r="B745" s="60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4.25" customHeight="1">
      <c r="A746" s="60"/>
      <c r="B746" s="60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4.25" customHeight="1">
      <c r="A747" s="60"/>
      <c r="B747" s="60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4.25" customHeight="1">
      <c r="A748" s="60"/>
      <c r="B748" s="60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4.25" customHeight="1">
      <c r="A749" s="60"/>
      <c r="B749" s="60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4.25" customHeight="1">
      <c r="A750" s="60"/>
      <c r="B750" s="60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4.25" customHeight="1">
      <c r="A751" s="60"/>
      <c r="B751" s="60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4.25" customHeight="1">
      <c r="A752" s="60"/>
      <c r="B752" s="60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4.25" customHeight="1">
      <c r="A753" s="60"/>
      <c r="B753" s="60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4.25" customHeight="1">
      <c r="A754" s="60"/>
      <c r="B754" s="60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4.25" customHeight="1">
      <c r="A755" s="60"/>
      <c r="B755" s="60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4.25" customHeight="1">
      <c r="A756" s="60"/>
      <c r="B756" s="60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4.25" customHeight="1">
      <c r="A757" s="60"/>
      <c r="B757" s="60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4.25" customHeight="1">
      <c r="A758" s="60"/>
      <c r="B758" s="60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4.25" customHeight="1">
      <c r="A759" s="60"/>
      <c r="B759" s="60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4.25" customHeight="1">
      <c r="A760" s="60"/>
      <c r="B760" s="60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4.25" customHeight="1">
      <c r="A761" s="60"/>
      <c r="B761" s="60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4.25" customHeight="1">
      <c r="A762" s="60"/>
      <c r="B762" s="60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4.25" customHeight="1">
      <c r="A763" s="60"/>
      <c r="B763" s="60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4.25" customHeight="1">
      <c r="A764" s="60"/>
      <c r="B764" s="60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4.25" customHeight="1">
      <c r="A765" s="60"/>
      <c r="B765" s="60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4.25" customHeight="1">
      <c r="A766" s="60"/>
      <c r="B766" s="60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4.25" customHeight="1">
      <c r="A767" s="60"/>
      <c r="B767" s="60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4.25" customHeight="1">
      <c r="A768" s="60"/>
      <c r="B768" s="60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4.25" customHeight="1">
      <c r="A769" s="60"/>
      <c r="B769" s="60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4.25" customHeight="1">
      <c r="A770" s="60"/>
      <c r="B770" s="60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4.25" customHeight="1">
      <c r="A771" s="60"/>
      <c r="B771" s="60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4.25" customHeight="1">
      <c r="A772" s="60"/>
      <c r="B772" s="60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4.25" customHeight="1">
      <c r="A773" s="60"/>
      <c r="B773" s="60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4.25" customHeight="1">
      <c r="A774" s="60"/>
      <c r="B774" s="60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4.25" customHeight="1">
      <c r="A775" s="60"/>
      <c r="B775" s="60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4.25" customHeight="1">
      <c r="A776" s="60"/>
      <c r="B776" s="60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4.25" customHeight="1">
      <c r="A777" s="60"/>
      <c r="B777" s="60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4.25" customHeight="1">
      <c r="A778" s="60"/>
      <c r="B778" s="60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4.25" customHeight="1">
      <c r="A779" s="60"/>
      <c r="B779" s="60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4.25" customHeight="1">
      <c r="A780" s="60"/>
      <c r="B780" s="60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4.25" customHeight="1">
      <c r="A781" s="60"/>
      <c r="B781" s="60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4.25" customHeight="1">
      <c r="A782" s="60"/>
      <c r="B782" s="60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4.25" customHeight="1">
      <c r="A783" s="60"/>
      <c r="B783" s="60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4.25" customHeight="1">
      <c r="A784" s="60"/>
      <c r="B784" s="60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4.25" customHeight="1">
      <c r="A785" s="60"/>
      <c r="B785" s="60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4.25" customHeight="1">
      <c r="A786" s="60"/>
      <c r="B786" s="60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4.25" customHeight="1">
      <c r="A787" s="60"/>
      <c r="B787" s="60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4.25" customHeight="1">
      <c r="A788" s="60"/>
      <c r="B788" s="60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4.25" customHeight="1">
      <c r="A789" s="60"/>
      <c r="B789" s="60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4.25" customHeight="1">
      <c r="A790" s="60"/>
      <c r="B790" s="60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4.25" customHeight="1">
      <c r="A791" s="60"/>
      <c r="B791" s="60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4.25" customHeight="1">
      <c r="A792" s="60"/>
      <c r="B792" s="60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4.25" customHeight="1">
      <c r="A793" s="60"/>
      <c r="B793" s="60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4.25" customHeight="1">
      <c r="A794" s="60"/>
      <c r="B794" s="60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4.25" customHeight="1">
      <c r="A795" s="60"/>
      <c r="B795" s="60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4.25" customHeight="1">
      <c r="A796" s="60"/>
      <c r="B796" s="60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4.25" customHeight="1">
      <c r="A797" s="60"/>
      <c r="B797" s="60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4.25" customHeight="1">
      <c r="A798" s="60"/>
      <c r="B798" s="60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4.25" customHeight="1">
      <c r="A799" s="60"/>
      <c r="B799" s="60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4.25" customHeight="1">
      <c r="A800" s="60"/>
      <c r="B800" s="60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4.25" customHeight="1">
      <c r="A801" s="60"/>
      <c r="B801" s="60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4.25" customHeight="1">
      <c r="A802" s="60"/>
      <c r="B802" s="60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4.25" customHeight="1">
      <c r="A803" s="60"/>
      <c r="B803" s="60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4.25" customHeight="1">
      <c r="A804" s="60"/>
      <c r="B804" s="60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4.25" customHeight="1">
      <c r="A805" s="60"/>
      <c r="B805" s="60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4.25" customHeight="1">
      <c r="A806" s="60"/>
      <c r="B806" s="60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4.25" customHeight="1">
      <c r="A807" s="60"/>
      <c r="B807" s="60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4.25" customHeight="1">
      <c r="A808" s="60"/>
      <c r="B808" s="60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4.25" customHeight="1">
      <c r="A809" s="60"/>
      <c r="B809" s="60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4.25" customHeight="1">
      <c r="A810" s="60"/>
      <c r="B810" s="60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4.25" customHeight="1">
      <c r="A811" s="60"/>
      <c r="B811" s="60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4.25" customHeight="1">
      <c r="A812" s="60"/>
      <c r="B812" s="60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4.25" customHeight="1">
      <c r="A813" s="60"/>
      <c r="B813" s="60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4.25" customHeight="1">
      <c r="A814" s="60"/>
      <c r="B814" s="60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4.25" customHeight="1">
      <c r="A815" s="60"/>
      <c r="B815" s="60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4.25" customHeight="1">
      <c r="A816" s="60"/>
      <c r="B816" s="60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4.25" customHeight="1">
      <c r="A817" s="60"/>
      <c r="B817" s="60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4.25" customHeight="1">
      <c r="A818" s="60"/>
      <c r="B818" s="60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4.25" customHeight="1">
      <c r="A819" s="60"/>
      <c r="B819" s="60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4.25" customHeight="1">
      <c r="A820" s="60"/>
      <c r="B820" s="60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4.25" customHeight="1">
      <c r="A821" s="60"/>
      <c r="B821" s="60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4.25" customHeight="1">
      <c r="A822" s="60"/>
      <c r="B822" s="60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4.25" customHeight="1">
      <c r="A823" s="60"/>
      <c r="B823" s="60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4.25" customHeight="1">
      <c r="A824" s="60"/>
      <c r="B824" s="60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4.25" customHeight="1">
      <c r="A825" s="60"/>
      <c r="B825" s="60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4.25" customHeight="1">
      <c r="A826" s="60"/>
      <c r="B826" s="60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4.25" customHeight="1">
      <c r="A827" s="60"/>
      <c r="B827" s="60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4.25" customHeight="1">
      <c r="A828" s="60"/>
      <c r="B828" s="60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4.25" customHeight="1">
      <c r="A829" s="60"/>
      <c r="B829" s="60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4.25" customHeight="1">
      <c r="A830" s="60"/>
      <c r="B830" s="60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4.25" customHeight="1">
      <c r="A831" s="60"/>
      <c r="B831" s="60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4.25" customHeight="1">
      <c r="A832" s="60"/>
      <c r="B832" s="60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4.25" customHeight="1">
      <c r="A833" s="60"/>
      <c r="B833" s="60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4.25" customHeight="1">
      <c r="A834" s="60"/>
      <c r="B834" s="60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4.25" customHeight="1">
      <c r="A835" s="60"/>
      <c r="B835" s="60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4.25" customHeight="1">
      <c r="A836" s="60"/>
      <c r="B836" s="60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4.25" customHeight="1">
      <c r="A837" s="60"/>
      <c r="B837" s="60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4.25" customHeight="1">
      <c r="A838" s="60"/>
      <c r="B838" s="60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</sheetData>
  <mergeCells count="2">
    <mergeCell ref="A6:A12"/>
    <mergeCell ref="A15:A21"/>
  </mergeCells>
  <conditionalFormatting sqref="C4:Z4 C26:Z26">
    <cfRule type="cellIs" dxfId="0" priority="1" operator="between">
      <formula>0</formula>
      <formula>500</formula>
    </cfRule>
  </conditionalFormatting>
  <conditionalFormatting sqref="C4:Z4 C26:Z26">
    <cfRule type="cellIs" dxfId="1" priority="2" operator="greaterThan">
      <formula>500</formula>
    </cfRule>
  </conditionalFormatting>
  <conditionalFormatting sqref="C4:Z4 C26:Z26">
    <cfRule type="cellIs" dxfId="2" priority="3" operator="lessThan">
      <formula>0</formula>
    </cfRule>
  </conditionalFormatting>
  <conditionalFormatting sqref="D10">
    <cfRule type="notContainsBlanks" dxfId="3" priority="4">
      <formula>LEN(TRIM(D10))&gt;0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 outlineLevelRow="1"/>
  <cols>
    <col customWidth="1" min="1" max="1" width="7.0"/>
    <col customWidth="1" min="2" max="2" width="28.5"/>
    <col customWidth="1" min="3" max="3" width="14.75"/>
    <col customWidth="1" min="4" max="15" width="12.5"/>
  </cols>
  <sheetData>
    <row r="1" ht="14.25" customHeight="1">
      <c r="A1" s="56"/>
      <c r="B1" s="56"/>
      <c r="C1" s="123" t="s">
        <v>125</v>
      </c>
      <c r="D1" s="124" t="s">
        <v>126</v>
      </c>
      <c r="E1" s="125"/>
      <c r="F1" s="126" t="s">
        <v>127</v>
      </c>
      <c r="G1" s="127"/>
      <c r="H1" s="124" t="s">
        <v>128</v>
      </c>
      <c r="I1" s="125"/>
      <c r="J1" s="126" t="s">
        <v>129</v>
      </c>
      <c r="K1" s="127"/>
      <c r="L1" s="124" t="s">
        <v>130</v>
      </c>
      <c r="M1" s="125"/>
      <c r="N1" s="126" t="s">
        <v>131</v>
      </c>
      <c r="O1" s="127"/>
    </row>
    <row r="2" ht="14.25" customHeight="1">
      <c r="A2" s="76"/>
      <c r="B2" s="128" t="s">
        <v>132</v>
      </c>
      <c r="C2" s="129"/>
      <c r="D2" s="130" t="s">
        <v>133</v>
      </c>
      <c r="E2" s="131" t="s">
        <v>134</v>
      </c>
      <c r="F2" s="132" t="s">
        <v>133</v>
      </c>
      <c r="G2" s="133" t="s">
        <v>134</v>
      </c>
      <c r="H2" s="134" t="s">
        <v>133</v>
      </c>
      <c r="I2" s="131" t="s">
        <v>134</v>
      </c>
      <c r="J2" s="132" t="s">
        <v>133</v>
      </c>
      <c r="K2" s="133" t="s">
        <v>134</v>
      </c>
      <c r="L2" s="130" t="s">
        <v>133</v>
      </c>
      <c r="M2" s="131" t="s">
        <v>134</v>
      </c>
      <c r="N2" s="132" t="s">
        <v>133</v>
      </c>
      <c r="O2" s="135" t="s">
        <v>134</v>
      </c>
    </row>
    <row r="3" ht="14.25" customHeight="1" outlineLevel="1">
      <c r="A3" s="114" t="s">
        <v>84</v>
      </c>
      <c r="B3" s="115" t="s">
        <v>109</v>
      </c>
      <c r="C3" s="136">
        <v>75.1</v>
      </c>
      <c r="D3" s="137">
        <v>72.0</v>
      </c>
      <c r="E3" s="138">
        <v>0.0</v>
      </c>
      <c r="F3" s="139">
        <v>92.9</v>
      </c>
      <c r="G3" s="140">
        <v>0.0</v>
      </c>
      <c r="H3" s="141">
        <v>103.36</v>
      </c>
      <c r="I3" s="142">
        <v>0.0</v>
      </c>
      <c r="J3" s="143">
        <v>0.0</v>
      </c>
      <c r="K3" s="140">
        <v>0.0</v>
      </c>
      <c r="L3" s="144">
        <v>0.0</v>
      </c>
      <c r="M3" s="142">
        <v>0.0</v>
      </c>
      <c r="N3" s="143">
        <v>0.0</v>
      </c>
      <c r="O3" s="145">
        <v>0.0</v>
      </c>
    </row>
    <row r="4" ht="14.25" customHeight="1" outlineLevel="1">
      <c r="A4" s="20"/>
      <c r="B4" s="72" t="s">
        <v>110</v>
      </c>
      <c r="C4" s="146">
        <v>7.54</v>
      </c>
      <c r="D4" s="147">
        <v>0.0</v>
      </c>
      <c r="E4" s="148">
        <v>0.0</v>
      </c>
      <c r="F4" s="149">
        <v>0.0</v>
      </c>
      <c r="G4" s="150">
        <v>0.0</v>
      </c>
      <c r="H4" s="151">
        <v>0.0</v>
      </c>
      <c r="I4" s="152">
        <v>0.0</v>
      </c>
      <c r="J4" s="149">
        <v>0.0</v>
      </c>
      <c r="K4" s="150">
        <v>0.0</v>
      </c>
      <c r="L4" s="147">
        <v>0.0</v>
      </c>
      <c r="M4" s="152">
        <v>0.0</v>
      </c>
      <c r="N4" s="149">
        <v>0.0</v>
      </c>
      <c r="O4" s="153">
        <v>0.0</v>
      </c>
    </row>
    <row r="5" ht="14.25" customHeight="1" outlineLevel="1">
      <c r="A5" s="20"/>
      <c r="B5" s="72" t="s">
        <v>111</v>
      </c>
      <c r="C5" s="146">
        <v>20.0</v>
      </c>
      <c r="D5" s="154">
        <v>20.0</v>
      </c>
      <c r="E5" s="148">
        <v>0.0</v>
      </c>
      <c r="F5" s="149">
        <v>0.0</v>
      </c>
      <c r="G5" s="150">
        <v>0.0</v>
      </c>
      <c r="H5" s="154">
        <v>20.0</v>
      </c>
      <c r="I5" s="152">
        <v>0.0</v>
      </c>
      <c r="J5" s="149">
        <v>0.0</v>
      </c>
      <c r="K5" s="150">
        <v>0.0</v>
      </c>
      <c r="L5" s="147">
        <v>0.0</v>
      </c>
      <c r="M5" s="152">
        <v>0.0</v>
      </c>
      <c r="N5" s="149">
        <v>0.0</v>
      </c>
      <c r="O5" s="153">
        <v>0.0</v>
      </c>
    </row>
    <row r="6" ht="14.25" customHeight="1" outlineLevel="1">
      <c r="A6" s="20"/>
      <c r="B6" s="86" t="s">
        <v>135</v>
      </c>
      <c r="C6" s="155">
        <v>0.0</v>
      </c>
      <c r="D6" s="147">
        <v>0.0</v>
      </c>
      <c r="E6" s="148">
        <v>0.0</v>
      </c>
      <c r="F6" s="149">
        <v>0.0</v>
      </c>
      <c r="G6" s="150">
        <v>0.0</v>
      </c>
      <c r="H6" s="147">
        <v>0.0</v>
      </c>
      <c r="I6" s="152">
        <v>0.0</v>
      </c>
      <c r="J6" s="149">
        <v>0.0</v>
      </c>
      <c r="K6" s="150">
        <v>0.0</v>
      </c>
      <c r="L6" s="147">
        <v>0.0</v>
      </c>
      <c r="M6" s="152">
        <v>0.0</v>
      </c>
      <c r="N6" s="149">
        <v>0.0</v>
      </c>
      <c r="O6" s="153">
        <v>0.0</v>
      </c>
    </row>
    <row r="7" ht="14.25" customHeight="1" outlineLevel="1">
      <c r="A7" s="20"/>
      <c r="B7" s="86" t="s">
        <v>113</v>
      </c>
      <c r="C7" s="146">
        <v>115.0</v>
      </c>
      <c r="D7" s="147">
        <v>0.0</v>
      </c>
      <c r="E7" s="148">
        <v>0.0</v>
      </c>
      <c r="F7" s="149">
        <v>0.0</v>
      </c>
      <c r="G7" s="150">
        <v>0.0</v>
      </c>
      <c r="H7" s="151">
        <v>0.0</v>
      </c>
      <c r="I7" s="152">
        <v>0.0</v>
      </c>
      <c r="J7" s="149">
        <v>0.0</v>
      </c>
      <c r="K7" s="150">
        <v>0.0</v>
      </c>
      <c r="L7" s="147">
        <v>0.0</v>
      </c>
      <c r="M7" s="152">
        <v>0.0</v>
      </c>
      <c r="N7" s="149">
        <v>0.0</v>
      </c>
      <c r="O7" s="153">
        <v>0.0</v>
      </c>
    </row>
    <row r="8" ht="14.25" customHeight="1" outlineLevel="1">
      <c r="A8" s="20"/>
      <c r="B8" s="86" t="s">
        <v>86</v>
      </c>
      <c r="C8" s="156"/>
      <c r="D8" s="151">
        <v>0.0</v>
      </c>
      <c r="E8" s="148">
        <v>0.0</v>
      </c>
      <c r="F8" s="157">
        <v>0.0</v>
      </c>
      <c r="G8" s="158">
        <v>94104.73</v>
      </c>
      <c r="H8" s="151">
        <v>0.0</v>
      </c>
      <c r="I8" s="159">
        <v>100823.28</v>
      </c>
      <c r="J8" s="157">
        <v>0.0</v>
      </c>
      <c r="K8" s="160">
        <v>0.0</v>
      </c>
      <c r="L8" s="151">
        <v>0.0</v>
      </c>
      <c r="M8" s="148">
        <v>0.0</v>
      </c>
      <c r="N8" s="157">
        <v>0.0</v>
      </c>
      <c r="O8" s="161">
        <v>0.0</v>
      </c>
    </row>
    <row r="9" ht="14.25" customHeight="1" outlineLevel="1">
      <c r="A9" s="20"/>
      <c r="B9" s="86" t="s">
        <v>85</v>
      </c>
      <c r="C9" s="156"/>
      <c r="D9" s="151">
        <v>0.0</v>
      </c>
      <c r="E9" s="148">
        <v>0.0</v>
      </c>
      <c r="F9" s="157">
        <v>0.0</v>
      </c>
      <c r="G9" s="158">
        <v>23461.9</v>
      </c>
      <c r="H9" s="151">
        <v>0.0</v>
      </c>
      <c r="I9" s="159">
        <v>23461.9</v>
      </c>
      <c r="J9" s="157">
        <v>0.0</v>
      </c>
      <c r="K9" s="160">
        <v>0.0</v>
      </c>
      <c r="L9" s="151">
        <v>0.0</v>
      </c>
      <c r="M9" s="148">
        <v>0.0</v>
      </c>
      <c r="N9" s="157">
        <v>0.0</v>
      </c>
      <c r="O9" s="161">
        <v>0.0</v>
      </c>
    </row>
    <row r="10" ht="14.25" customHeight="1" outlineLevel="1">
      <c r="A10" s="20"/>
      <c r="B10" s="96" t="s">
        <v>116</v>
      </c>
      <c r="C10" s="146">
        <v>142.52</v>
      </c>
      <c r="D10" s="147">
        <v>0.0</v>
      </c>
      <c r="E10" s="148">
        <v>0.0</v>
      </c>
      <c r="F10" s="162">
        <v>158.4</v>
      </c>
      <c r="G10" s="150">
        <v>0.0</v>
      </c>
      <c r="H10" s="147">
        <v>0.0</v>
      </c>
      <c r="I10" s="152">
        <v>0.0</v>
      </c>
      <c r="J10" s="149">
        <v>0.0</v>
      </c>
      <c r="K10" s="150">
        <v>0.0</v>
      </c>
      <c r="L10" s="147">
        <v>0.0</v>
      </c>
      <c r="M10" s="152">
        <v>0.0</v>
      </c>
      <c r="N10" s="149">
        <v>0.0</v>
      </c>
      <c r="O10" s="153">
        <v>0.0</v>
      </c>
    </row>
    <row r="11" ht="14.25" customHeight="1" outlineLevel="1">
      <c r="A11" s="20"/>
      <c r="B11" s="119" t="s">
        <v>136</v>
      </c>
      <c r="C11" s="155"/>
      <c r="D11" s="147">
        <v>0.0</v>
      </c>
      <c r="E11" s="159">
        <v>503.38</v>
      </c>
      <c r="F11" s="149">
        <v>0.0</v>
      </c>
      <c r="G11" s="158">
        <v>2760.82</v>
      </c>
      <c r="H11" s="147">
        <v>0.0</v>
      </c>
      <c r="I11" s="159">
        <v>2143.9</v>
      </c>
      <c r="J11" s="149">
        <v>0.0</v>
      </c>
      <c r="K11" s="150">
        <v>0.0</v>
      </c>
      <c r="L11" s="147">
        <v>0.0</v>
      </c>
      <c r="M11" s="152">
        <v>0.0</v>
      </c>
      <c r="N11" s="149">
        <v>0.0</v>
      </c>
      <c r="O11" s="153">
        <v>0.0</v>
      </c>
    </row>
    <row r="12" ht="14.25" customHeight="1" outlineLevel="1">
      <c r="A12" s="20"/>
      <c r="B12" s="86" t="s">
        <v>136</v>
      </c>
      <c r="C12" s="155"/>
      <c r="D12" s="154">
        <v>1.1</v>
      </c>
      <c r="E12" s="148">
        <v>0.0</v>
      </c>
      <c r="F12" s="162">
        <v>3.02</v>
      </c>
      <c r="G12" s="150">
        <v>0.0</v>
      </c>
      <c r="H12" s="154">
        <v>1.48</v>
      </c>
      <c r="I12" s="152">
        <v>0.0</v>
      </c>
      <c r="J12" s="149">
        <v>0.0</v>
      </c>
      <c r="K12" s="150">
        <v>0.0</v>
      </c>
      <c r="L12" s="147">
        <v>0.0</v>
      </c>
      <c r="M12" s="152">
        <v>0.0</v>
      </c>
      <c r="N12" s="149">
        <v>0.0</v>
      </c>
      <c r="O12" s="153">
        <v>0.0</v>
      </c>
    </row>
    <row r="13" ht="14.25" customHeight="1" outlineLevel="1">
      <c r="A13" s="20"/>
      <c r="B13" s="86" t="s">
        <v>137</v>
      </c>
      <c r="C13" s="155"/>
      <c r="D13" s="147">
        <v>0.0</v>
      </c>
      <c r="E13" s="159">
        <v>2080.08</v>
      </c>
      <c r="F13" s="149">
        <v>0.0</v>
      </c>
      <c r="G13" s="163">
        <f>4432.03+2599.34</f>
        <v>7031.37</v>
      </c>
      <c r="H13" s="147">
        <v>0.0</v>
      </c>
      <c r="I13" s="159">
        <v>2876.5</v>
      </c>
      <c r="J13" s="149">
        <v>0.0</v>
      </c>
      <c r="K13" s="150">
        <v>0.0</v>
      </c>
      <c r="L13" s="147">
        <v>0.0</v>
      </c>
      <c r="M13" s="152">
        <v>0.0</v>
      </c>
      <c r="N13" s="149">
        <v>0.0</v>
      </c>
      <c r="O13" s="153">
        <v>0.0</v>
      </c>
    </row>
    <row r="14" ht="14.25" customHeight="1" outlineLevel="1">
      <c r="A14" s="20"/>
      <c r="B14" s="86" t="s">
        <v>138</v>
      </c>
      <c r="C14" s="155"/>
      <c r="D14" s="147">
        <v>0.0</v>
      </c>
      <c r="E14" s="159">
        <v>39868.2</v>
      </c>
      <c r="F14" s="149">
        <v>0.0</v>
      </c>
      <c r="G14" s="158">
        <v>105470.61</v>
      </c>
      <c r="H14" s="147">
        <v>0.0</v>
      </c>
      <c r="I14" s="159">
        <v>51496.63</v>
      </c>
      <c r="J14" s="149">
        <v>0.0</v>
      </c>
      <c r="K14" s="150">
        <v>0.0</v>
      </c>
      <c r="L14" s="147">
        <v>0.0</v>
      </c>
      <c r="M14" s="152">
        <v>0.0</v>
      </c>
      <c r="N14" s="149">
        <v>0.0</v>
      </c>
      <c r="O14" s="153">
        <v>0.0</v>
      </c>
    </row>
    <row r="15" ht="14.25" customHeight="1" outlineLevel="1">
      <c r="A15" s="20"/>
      <c r="B15" s="86" t="s">
        <v>139</v>
      </c>
      <c r="C15" s="155"/>
      <c r="D15" s="147">
        <v>0.0</v>
      </c>
      <c r="E15" s="148">
        <v>0.0</v>
      </c>
      <c r="F15" s="149">
        <v>0.0</v>
      </c>
      <c r="G15" s="150">
        <v>0.0</v>
      </c>
      <c r="H15" s="147">
        <v>0.0</v>
      </c>
      <c r="I15" s="152">
        <v>0.0</v>
      </c>
      <c r="J15" s="149">
        <v>0.0</v>
      </c>
      <c r="K15" s="150">
        <v>0.0</v>
      </c>
      <c r="L15" s="147">
        <v>0.0</v>
      </c>
      <c r="M15" s="152">
        <v>0.0</v>
      </c>
      <c r="N15" s="149">
        <v>0.0</v>
      </c>
      <c r="O15" s="153">
        <v>0.0</v>
      </c>
    </row>
    <row r="16" ht="14.25" customHeight="1" outlineLevel="1">
      <c r="A16" s="32"/>
      <c r="B16" s="86" t="s">
        <v>139</v>
      </c>
      <c r="C16" s="155"/>
      <c r="D16" s="147">
        <v>0.0</v>
      </c>
      <c r="E16" s="148">
        <v>0.0</v>
      </c>
      <c r="F16" s="149">
        <v>0.0</v>
      </c>
      <c r="G16" s="150">
        <v>0.0</v>
      </c>
      <c r="H16" s="147">
        <v>0.0</v>
      </c>
      <c r="I16" s="152">
        <v>0.0</v>
      </c>
      <c r="J16" s="149">
        <v>0.0</v>
      </c>
      <c r="K16" s="150">
        <v>0.0</v>
      </c>
      <c r="L16" s="147">
        <v>0.0</v>
      </c>
      <c r="M16" s="152">
        <v>0.0</v>
      </c>
      <c r="N16" s="149">
        <v>0.0</v>
      </c>
      <c r="O16" s="153">
        <v>0.0</v>
      </c>
    </row>
    <row r="17" ht="14.25" customHeight="1">
      <c r="A17" s="97"/>
      <c r="B17" s="164" t="s">
        <v>140</v>
      </c>
      <c r="C17" s="165">
        <f t="shared" ref="C17:O17" si="1">SUM(C2:C16)</f>
        <v>360.16</v>
      </c>
      <c r="D17" s="166">
        <f t="shared" si="1"/>
        <v>93.1</v>
      </c>
      <c r="E17" s="167">
        <f t="shared" si="1"/>
        <v>42451.66</v>
      </c>
      <c r="F17" s="168">
        <f t="shared" si="1"/>
        <v>254.32</v>
      </c>
      <c r="G17" s="169">
        <f t="shared" si="1"/>
        <v>232829.43</v>
      </c>
      <c r="H17" s="166">
        <f t="shared" si="1"/>
        <v>124.84</v>
      </c>
      <c r="I17" s="167">
        <f t="shared" si="1"/>
        <v>180802.21</v>
      </c>
      <c r="J17" s="168">
        <f t="shared" si="1"/>
        <v>0</v>
      </c>
      <c r="K17" s="169">
        <f t="shared" si="1"/>
        <v>0</v>
      </c>
      <c r="L17" s="166">
        <f t="shared" si="1"/>
        <v>0</v>
      </c>
      <c r="M17" s="167">
        <f t="shared" si="1"/>
        <v>0</v>
      </c>
      <c r="N17" s="168">
        <f t="shared" si="1"/>
        <v>0</v>
      </c>
      <c r="O17" s="170">
        <f t="shared" si="1"/>
        <v>0</v>
      </c>
    </row>
    <row r="18" ht="14.25" customHeight="1">
      <c r="A18" s="60"/>
      <c r="B18" s="60"/>
      <c r="C18" s="155"/>
      <c r="D18" s="171"/>
      <c r="E18" s="172"/>
      <c r="F18" s="173"/>
      <c r="G18" s="174"/>
      <c r="H18" s="171"/>
      <c r="I18" s="172"/>
      <c r="J18" s="173"/>
      <c r="K18" s="174"/>
      <c r="L18" s="171"/>
      <c r="M18" s="172"/>
      <c r="N18" s="173"/>
      <c r="O18" s="175"/>
    </row>
    <row r="19" ht="14.25" customHeight="1">
      <c r="A19" s="60"/>
      <c r="B19" s="72" t="s">
        <v>141</v>
      </c>
      <c r="C19" s="155"/>
      <c r="D19" s="176">
        <v>1460.0</v>
      </c>
      <c r="E19" s="172"/>
      <c r="F19" s="177">
        <v>1445.0</v>
      </c>
      <c r="G19" s="174"/>
      <c r="H19" s="178">
        <v>1445.0</v>
      </c>
      <c r="I19" s="172"/>
      <c r="J19" s="179"/>
      <c r="K19" s="174"/>
      <c r="L19" s="180"/>
      <c r="M19" s="172"/>
      <c r="N19" s="179"/>
      <c r="O19" s="175"/>
    </row>
    <row r="20" ht="14.25" customHeight="1">
      <c r="A20" s="60"/>
      <c r="B20" s="72" t="s">
        <v>142</v>
      </c>
      <c r="C20" s="155"/>
      <c r="D20" s="180">
        <f>D17*D19</f>
        <v>135926</v>
      </c>
      <c r="E20" s="172">
        <f>E17</f>
        <v>42451.66</v>
      </c>
      <c r="F20" s="179">
        <f>F17*F19</f>
        <v>367492.4</v>
      </c>
      <c r="G20" s="174">
        <f>G17</f>
        <v>232829.43</v>
      </c>
      <c r="H20" s="180">
        <f>H17*H19</f>
        <v>180393.8</v>
      </c>
      <c r="I20" s="172">
        <f>I17</f>
        <v>180802.21</v>
      </c>
      <c r="J20" s="179">
        <f>J17*J19</f>
        <v>0</v>
      </c>
      <c r="K20" s="174">
        <f>K17</f>
        <v>0</v>
      </c>
      <c r="L20" s="180">
        <f>L17*L19</f>
        <v>0</v>
      </c>
      <c r="M20" s="172">
        <f>M17</f>
        <v>0</v>
      </c>
      <c r="N20" s="179">
        <f>N17*N19</f>
        <v>0</v>
      </c>
      <c r="O20" s="175">
        <f>O17</f>
        <v>0</v>
      </c>
    </row>
    <row r="21" ht="14.25" customHeight="1">
      <c r="A21" s="64"/>
      <c r="B21" s="65" t="s">
        <v>59</v>
      </c>
      <c r="C21" s="181"/>
      <c r="D21" s="182">
        <f>D20+E20</f>
        <v>178377.66</v>
      </c>
      <c r="E21" s="183"/>
      <c r="F21" s="182">
        <f>F20+G20</f>
        <v>600321.83</v>
      </c>
      <c r="G21" s="183"/>
      <c r="H21" s="182">
        <f>H20+I20</f>
        <v>361196.01</v>
      </c>
      <c r="I21" s="183"/>
      <c r="J21" s="182">
        <f>J20+K20</f>
        <v>0</v>
      </c>
      <c r="K21" s="183"/>
      <c r="L21" s="182">
        <f>L20+M20</f>
        <v>0</v>
      </c>
      <c r="M21" s="183"/>
      <c r="N21" s="182">
        <f>N20+O20</f>
        <v>0</v>
      </c>
      <c r="O21" s="183"/>
    </row>
    <row r="22" ht="14.25" customHeight="1">
      <c r="A22" s="60"/>
      <c r="B22" s="60" t="s">
        <v>143</v>
      </c>
      <c r="C22" s="111"/>
      <c r="D22" s="184"/>
      <c r="E22" s="184"/>
      <c r="F22" s="184"/>
      <c r="G22" s="185"/>
      <c r="H22" s="184"/>
      <c r="I22" s="185"/>
      <c r="J22" s="184"/>
      <c r="K22" s="185"/>
      <c r="L22" s="184"/>
      <c r="M22" s="185"/>
      <c r="N22" s="184"/>
      <c r="O22" s="185"/>
    </row>
    <row r="23" ht="14.25" customHeight="1">
      <c r="A23" s="60"/>
      <c r="B23" s="60" t="s">
        <v>144</v>
      </c>
      <c r="C23" s="111"/>
      <c r="D23" s="111"/>
      <c r="E23" s="111"/>
      <c r="F23" s="111"/>
      <c r="G23" s="153"/>
      <c r="H23" s="111"/>
      <c r="I23" s="153"/>
      <c r="J23" s="111"/>
      <c r="K23" s="153"/>
      <c r="L23" s="111"/>
      <c r="M23" s="153"/>
      <c r="N23" s="111"/>
      <c r="O23" s="153"/>
    </row>
    <row r="24" ht="14.25" customHeight="1">
      <c r="A24" s="60"/>
      <c r="B24" s="60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</row>
    <row r="25" ht="14.25" customHeight="1">
      <c r="A25" s="60"/>
      <c r="B25" s="60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</row>
    <row r="26" ht="14.25" customHeight="1">
      <c r="A26" s="60"/>
      <c r="B26" s="60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</row>
    <row r="27" ht="14.25" customHeight="1">
      <c r="A27" s="60"/>
      <c r="B27" s="60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</row>
    <row r="28" ht="14.25" customHeight="1">
      <c r="A28" s="60"/>
      <c r="B28" s="60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</row>
    <row r="29" ht="14.25" customHeight="1">
      <c r="A29" s="60"/>
      <c r="B29" s="60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</row>
    <row r="30" ht="14.25" customHeight="1">
      <c r="A30" s="60"/>
      <c r="B30" s="60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</row>
    <row r="31" ht="14.25" customHeight="1">
      <c r="A31" s="60"/>
      <c r="B31" s="60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</row>
    <row r="32" ht="14.25" customHeight="1">
      <c r="A32" s="60"/>
      <c r="B32" s="60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</row>
    <row r="33" ht="14.25" customHeight="1">
      <c r="A33" s="60"/>
      <c r="B33" s="60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</row>
    <row r="34" ht="14.25" customHeight="1">
      <c r="A34" s="60"/>
      <c r="B34" s="60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</row>
    <row r="35" ht="14.25" customHeight="1">
      <c r="A35" s="60"/>
      <c r="B35" s="60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</row>
    <row r="36" ht="14.25" customHeight="1">
      <c r="A36" s="60"/>
      <c r="B36" s="60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</row>
    <row r="37" ht="14.25" customHeight="1">
      <c r="A37" s="60"/>
      <c r="B37" s="60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</row>
    <row r="38" ht="14.25" customHeight="1">
      <c r="A38" s="60"/>
      <c r="B38" s="60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</row>
    <row r="39" ht="14.25" customHeight="1">
      <c r="A39" s="60"/>
      <c r="B39" s="60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</row>
    <row r="40" ht="14.25" customHeight="1">
      <c r="A40" s="60"/>
      <c r="B40" s="60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</row>
    <row r="41" ht="14.25" customHeight="1">
      <c r="A41" s="60"/>
      <c r="B41" s="60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</row>
    <row r="42" ht="14.25" customHeight="1">
      <c r="A42" s="60"/>
      <c r="B42" s="60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</row>
    <row r="43" ht="14.25" customHeight="1">
      <c r="A43" s="60"/>
      <c r="B43" s="60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</row>
    <row r="44" ht="14.25" customHeight="1">
      <c r="A44" s="60"/>
      <c r="B44" s="60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</row>
    <row r="45" ht="14.25" customHeight="1">
      <c r="A45" s="60"/>
      <c r="B45" s="60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</row>
    <row r="46" ht="14.25" customHeight="1">
      <c r="A46" s="60"/>
      <c r="B46" s="60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</row>
    <row r="47" ht="14.25" customHeight="1">
      <c r="A47" s="60"/>
      <c r="B47" s="60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</row>
    <row r="48" ht="14.25" customHeight="1">
      <c r="A48" s="60"/>
      <c r="B48" s="60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</row>
    <row r="49" ht="14.25" customHeight="1">
      <c r="A49" s="60"/>
      <c r="B49" s="60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</row>
    <row r="50" ht="14.25" customHeight="1">
      <c r="A50" s="60"/>
      <c r="B50" s="60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</row>
    <row r="51" ht="14.25" customHeight="1">
      <c r="A51" s="60"/>
      <c r="B51" s="60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</row>
    <row r="52" ht="14.25" customHeight="1">
      <c r="A52" s="60"/>
      <c r="B52" s="60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ht="14.25" customHeight="1">
      <c r="A53" s="60"/>
      <c r="B53" s="60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</row>
    <row r="54" ht="14.25" customHeight="1">
      <c r="A54" s="60"/>
      <c r="B54" s="60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</row>
    <row r="55" ht="14.25" customHeight="1">
      <c r="A55" s="60"/>
      <c r="B55" s="60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</row>
    <row r="56" ht="14.25" customHeight="1">
      <c r="A56" s="60"/>
      <c r="B56" s="60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</row>
    <row r="57" ht="14.25" customHeight="1">
      <c r="A57" s="60"/>
      <c r="B57" s="60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</row>
    <row r="58" ht="14.25" customHeight="1">
      <c r="A58" s="60"/>
      <c r="B58" s="60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</row>
    <row r="59" ht="14.25" customHeight="1">
      <c r="A59" s="60"/>
      <c r="B59" s="60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</row>
    <row r="60" ht="14.25" customHeight="1">
      <c r="A60" s="60"/>
      <c r="B60" s="60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</row>
    <row r="61" ht="14.25" customHeight="1">
      <c r="A61" s="60"/>
      <c r="B61" s="60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</row>
    <row r="62" ht="14.25" customHeight="1">
      <c r="A62" s="60"/>
      <c r="B62" s="60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</row>
    <row r="63" ht="14.25" customHeight="1">
      <c r="A63" s="60"/>
      <c r="B63" s="60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</row>
    <row r="64" ht="14.25" customHeight="1">
      <c r="A64" s="60"/>
      <c r="B64" s="60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</row>
    <row r="65" ht="14.25" customHeight="1">
      <c r="A65" s="60"/>
      <c r="B65" s="60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</row>
    <row r="66" ht="14.25" customHeight="1">
      <c r="A66" s="60"/>
      <c r="B66" s="60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</row>
    <row r="67" ht="14.25" customHeight="1">
      <c r="A67" s="60"/>
      <c r="B67" s="60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</row>
    <row r="68" ht="14.25" customHeight="1">
      <c r="A68" s="60"/>
      <c r="B68" s="60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</row>
    <row r="69" ht="14.25" customHeight="1">
      <c r="A69" s="60"/>
      <c r="B69" s="60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</row>
    <row r="70" ht="14.25" customHeight="1">
      <c r="A70" s="60"/>
      <c r="B70" s="60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</row>
    <row r="71" ht="14.25" customHeight="1">
      <c r="A71" s="60"/>
      <c r="B71" s="60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</row>
    <row r="72" ht="14.25" customHeight="1">
      <c r="A72" s="60"/>
      <c r="B72" s="60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</row>
    <row r="73" ht="14.25" customHeight="1">
      <c r="A73" s="60"/>
      <c r="B73" s="60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</row>
    <row r="74" ht="14.25" customHeight="1">
      <c r="A74" s="60"/>
      <c r="B74" s="60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</row>
    <row r="75" ht="14.25" customHeight="1">
      <c r="A75" s="60"/>
      <c r="B75" s="60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</row>
    <row r="76" ht="14.25" customHeight="1">
      <c r="A76" s="60"/>
      <c r="B76" s="60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</row>
    <row r="77" ht="14.25" customHeight="1">
      <c r="A77" s="60"/>
      <c r="B77" s="60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</row>
    <row r="78" ht="14.25" customHeight="1">
      <c r="A78" s="60"/>
      <c r="B78" s="60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</row>
    <row r="79" ht="14.25" customHeight="1">
      <c r="A79" s="60"/>
      <c r="B79" s="60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</row>
    <row r="80" ht="14.25" customHeight="1">
      <c r="A80" s="60"/>
      <c r="B80" s="60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</row>
    <row r="81" ht="14.25" customHeight="1">
      <c r="A81" s="60"/>
      <c r="B81" s="60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</row>
    <row r="82" ht="14.25" customHeight="1">
      <c r="A82" s="60"/>
      <c r="B82" s="60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</row>
    <row r="83" ht="14.25" customHeight="1">
      <c r="A83" s="60"/>
      <c r="B83" s="60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</row>
    <row r="84" ht="14.25" customHeight="1">
      <c r="A84" s="60"/>
      <c r="B84" s="60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ht="14.25" customHeight="1">
      <c r="A85" s="60"/>
      <c r="B85" s="60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ht="14.25" customHeight="1">
      <c r="A86" s="60"/>
      <c r="B86" s="60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ht="14.25" customHeight="1">
      <c r="A87" s="60"/>
      <c r="B87" s="60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</row>
    <row r="88" ht="14.25" customHeight="1">
      <c r="A88" s="60"/>
      <c r="B88" s="60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</row>
    <row r="89" ht="14.25" customHeight="1">
      <c r="A89" s="60"/>
      <c r="B89" s="60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</row>
    <row r="90" ht="14.25" customHeight="1">
      <c r="A90" s="60"/>
      <c r="B90" s="60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</row>
    <row r="91" ht="14.25" customHeight="1">
      <c r="A91" s="60"/>
      <c r="B91" s="60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</row>
    <row r="92" ht="14.25" customHeight="1">
      <c r="A92" s="60"/>
      <c r="B92" s="60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</row>
    <row r="93" ht="14.25" customHeight="1">
      <c r="A93" s="60"/>
      <c r="B93" s="60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</row>
    <row r="94" ht="14.25" customHeight="1">
      <c r="A94" s="60"/>
      <c r="B94" s="60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</row>
    <row r="95" ht="14.25" customHeight="1">
      <c r="A95" s="60"/>
      <c r="B95" s="60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</row>
    <row r="96" ht="14.25" customHeight="1">
      <c r="A96" s="60"/>
      <c r="B96" s="60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</row>
    <row r="97" ht="14.25" customHeight="1">
      <c r="A97" s="60"/>
      <c r="B97" s="60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</row>
    <row r="98" ht="14.25" customHeight="1">
      <c r="A98" s="60"/>
      <c r="B98" s="60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</row>
    <row r="99" ht="14.25" customHeight="1">
      <c r="A99" s="60"/>
      <c r="B99" s="60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</row>
    <row r="100" ht="14.25" customHeight="1">
      <c r="A100" s="60"/>
      <c r="B100" s="60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</row>
    <row r="101" ht="14.25" customHeight="1">
      <c r="A101" s="60"/>
      <c r="B101" s="60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</row>
    <row r="102" ht="14.25" customHeight="1">
      <c r="A102" s="60"/>
      <c r="B102" s="60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</row>
    <row r="103" ht="14.25" customHeight="1">
      <c r="A103" s="60"/>
      <c r="B103" s="60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</row>
    <row r="104" ht="14.25" customHeight="1">
      <c r="A104" s="60"/>
      <c r="B104" s="60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</row>
    <row r="105" ht="14.25" customHeight="1">
      <c r="A105" s="60"/>
      <c r="B105" s="60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</row>
    <row r="106" ht="14.25" customHeight="1">
      <c r="A106" s="60"/>
      <c r="B106" s="60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 ht="14.25" customHeight="1">
      <c r="A107" s="60"/>
      <c r="B107" s="60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</row>
    <row r="108" ht="14.25" customHeight="1">
      <c r="A108" s="60"/>
      <c r="B108" s="60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</row>
    <row r="109" ht="14.25" customHeight="1">
      <c r="A109" s="60"/>
      <c r="B109" s="60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</row>
    <row r="110" ht="14.25" customHeight="1">
      <c r="A110" s="60"/>
      <c r="B110" s="60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</row>
    <row r="111" ht="14.25" customHeight="1">
      <c r="A111" s="60"/>
      <c r="B111" s="60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</row>
    <row r="112" ht="14.25" customHeight="1">
      <c r="A112" s="60"/>
      <c r="B112" s="60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</row>
    <row r="113" ht="14.25" customHeight="1">
      <c r="A113" s="60"/>
      <c r="B113" s="60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</row>
    <row r="114" ht="14.25" customHeight="1">
      <c r="A114" s="60"/>
      <c r="B114" s="60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</row>
    <row r="115" ht="14.25" customHeight="1">
      <c r="A115" s="60"/>
      <c r="B115" s="60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</row>
    <row r="116" ht="14.25" customHeight="1">
      <c r="A116" s="60"/>
      <c r="B116" s="60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</row>
    <row r="117" ht="14.25" customHeight="1">
      <c r="A117" s="60"/>
      <c r="B117" s="60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</row>
    <row r="118" ht="14.25" customHeight="1">
      <c r="A118" s="60"/>
      <c r="B118" s="60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</row>
    <row r="119" ht="14.25" customHeight="1">
      <c r="A119" s="60"/>
      <c r="B119" s="60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</row>
    <row r="120" ht="14.25" customHeight="1">
      <c r="A120" s="60"/>
      <c r="B120" s="60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</row>
    <row r="121" ht="14.25" customHeight="1">
      <c r="A121" s="60"/>
      <c r="B121" s="60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</row>
    <row r="122" ht="14.25" customHeight="1">
      <c r="A122" s="60"/>
      <c r="B122" s="60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</row>
    <row r="123" ht="14.25" customHeight="1">
      <c r="A123" s="60"/>
      <c r="B123" s="60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</row>
    <row r="124" ht="14.25" customHeight="1">
      <c r="A124" s="60"/>
      <c r="B124" s="60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</row>
    <row r="125" ht="14.25" customHeight="1">
      <c r="A125" s="60"/>
      <c r="B125" s="60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</row>
    <row r="126" ht="14.25" customHeight="1">
      <c r="A126" s="60"/>
      <c r="B126" s="60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</row>
    <row r="127" ht="14.25" customHeight="1">
      <c r="A127" s="60"/>
      <c r="B127" s="60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</row>
    <row r="128" ht="14.25" customHeight="1">
      <c r="A128" s="60"/>
      <c r="B128" s="60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</row>
    <row r="129" ht="14.25" customHeight="1">
      <c r="A129" s="60"/>
      <c r="B129" s="60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</row>
    <row r="130" ht="14.25" customHeight="1">
      <c r="A130" s="60"/>
      <c r="B130" s="60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</row>
    <row r="131" ht="14.25" customHeight="1">
      <c r="A131" s="60"/>
      <c r="B131" s="60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</row>
    <row r="132" ht="14.25" customHeight="1">
      <c r="A132" s="60"/>
      <c r="B132" s="60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</row>
    <row r="133" ht="14.25" customHeight="1">
      <c r="A133" s="60"/>
      <c r="B133" s="60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</row>
    <row r="134" ht="14.25" customHeight="1">
      <c r="A134" s="60"/>
      <c r="B134" s="60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</row>
    <row r="135" ht="14.25" customHeight="1">
      <c r="A135" s="60"/>
      <c r="B135" s="60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</row>
    <row r="136" ht="14.25" customHeight="1">
      <c r="A136" s="60"/>
      <c r="B136" s="60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</row>
    <row r="137" ht="14.25" customHeight="1">
      <c r="A137" s="60"/>
      <c r="B137" s="60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</row>
    <row r="138" ht="14.25" customHeight="1">
      <c r="A138" s="60"/>
      <c r="B138" s="60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</row>
    <row r="139" ht="14.25" customHeight="1">
      <c r="A139" s="60"/>
      <c r="B139" s="60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</row>
    <row r="140" ht="14.25" customHeight="1">
      <c r="A140" s="60"/>
      <c r="B140" s="60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</row>
    <row r="141" ht="14.25" customHeight="1">
      <c r="A141" s="60"/>
      <c r="B141" s="60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</row>
    <row r="142" ht="14.25" customHeight="1">
      <c r="A142" s="60"/>
      <c r="B142" s="60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</row>
    <row r="143" ht="14.25" customHeight="1">
      <c r="A143" s="60"/>
      <c r="B143" s="60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</row>
    <row r="144" ht="14.25" customHeight="1">
      <c r="A144" s="60"/>
      <c r="B144" s="60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</row>
    <row r="145" ht="14.25" customHeight="1">
      <c r="A145" s="60"/>
      <c r="B145" s="60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</row>
    <row r="146" ht="14.25" customHeight="1">
      <c r="A146" s="60"/>
      <c r="B146" s="60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</row>
    <row r="147" ht="14.25" customHeight="1">
      <c r="A147" s="60"/>
      <c r="B147" s="60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</row>
    <row r="148" ht="14.25" customHeight="1">
      <c r="A148" s="60"/>
      <c r="B148" s="60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</row>
    <row r="149" ht="14.25" customHeight="1">
      <c r="A149" s="60"/>
      <c r="B149" s="60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</row>
    <row r="150" ht="14.25" customHeight="1">
      <c r="A150" s="60"/>
      <c r="B150" s="60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</row>
    <row r="151" ht="14.25" customHeight="1">
      <c r="A151" s="60"/>
      <c r="B151" s="60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</row>
    <row r="152" ht="14.25" customHeight="1">
      <c r="A152" s="60"/>
      <c r="B152" s="60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</row>
    <row r="153" ht="14.25" customHeight="1">
      <c r="A153" s="60"/>
      <c r="B153" s="60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</row>
    <row r="154" ht="14.25" customHeight="1">
      <c r="A154" s="60"/>
      <c r="B154" s="60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</row>
    <row r="155" ht="14.25" customHeight="1">
      <c r="A155" s="60"/>
      <c r="B155" s="60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</row>
    <row r="156" ht="14.25" customHeight="1">
      <c r="A156" s="60"/>
      <c r="B156" s="60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</row>
    <row r="157" ht="14.25" customHeight="1">
      <c r="A157" s="60"/>
      <c r="B157" s="60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</row>
    <row r="158" ht="14.25" customHeight="1">
      <c r="A158" s="60"/>
      <c r="B158" s="60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</row>
    <row r="159" ht="14.25" customHeight="1">
      <c r="A159" s="60"/>
      <c r="B159" s="60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</row>
    <row r="160" ht="14.25" customHeight="1">
      <c r="A160" s="60"/>
      <c r="B160" s="60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</row>
    <row r="161" ht="14.25" customHeight="1">
      <c r="A161" s="60"/>
      <c r="B161" s="60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</row>
    <row r="162" ht="14.25" customHeight="1">
      <c r="A162" s="60"/>
      <c r="B162" s="60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</row>
    <row r="163" ht="14.25" customHeight="1">
      <c r="A163" s="60"/>
      <c r="B163" s="60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</row>
    <row r="164" ht="14.25" customHeight="1">
      <c r="A164" s="60"/>
      <c r="B164" s="60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</row>
    <row r="165" ht="14.25" customHeight="1">
      <c r="A165" s="60"/>
      <c r="B165" s="60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</row>
    <row r="166" ht="14.25" customHeight="1">
      <c r="A166" s="60"/>
      <c r="B166" s="60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</row>
    <row r="167" ht="14.25" customHeight="1">
      <c r="A167" s="60"/>
      <c r="B167" s="60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</row>
    <row r="168" ht="14.25" customHeight="1">
      <c r="A168" s="60"/>
      <c r="B168" s="60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</row>
    <row r="169" ht="14.25" customHeight="1">
      <c r="A169" s="60"/>
      <c r="B169" s="60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</row>
    <row r="170" ht="14.25" customHeight="1">
      <c r="A170" s="60"/>
      <c r="B170" s="60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</row>
    <row r="171" ht="14.25" customHeight="1">
      <c r="A171" s="60"/>
      <c r="B171" s="60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</row>
    <row r="172" ht="14.25" customHeight="1">
      <c r="A172" s="60"/>
      <c r="B172" s="60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</row>
    <row r="173" ht="14.25" customHeight="1">
      <c r="A173" s="60"/>
      <c r="B173" s="60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</row>
    <row r="174" ht="14.25" customHeight="1">
      <c r="A174" s="60"/>
      <c r="B174" s="60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</row>
    <row r="175" ht="14.25" customHeight="1">
      <c r="A175" s="60"/>
      <c r="B175" s="60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</row>
    <row r="176" ht="14.25" customHeight="1">
      <c r="A176" s="60"/>
      <c r="B176" s="60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</row>
    <row r="177" ht="14.25" customHeight="1">
      <c r="A177" s="60"/>
      <c r="B177" s="60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</row>
    <row r="178" ht="14.25" customHeight="1">
      <c r="A178" s="60"/>
      <c r="B178" s="60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</row>
    <row r="179" ht="14.25" customHeight="1">
      <c r="A179" s="60"/>
      <c r="B179" s="60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</row>
    <row r="180" ht="14.25" customHeight="1">
      <c r="A180" s="60"/>
      <c r="B180" s="60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</row>
    <row r="181" ht="14.25" customHeight="1">
      <c r="A181" s="60"/>
      <c r="B181" s="60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</row>
    <row r="182" ht="14.25" customHeight="1">
      <c r="A182" s="60"/>
      <c r="B182" s="60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</row>
    <row r="183" ht="14.25" customHeight="1">
      <c r="A183" s="60"/>
      <c r="B183" s="60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</row>
    <row r="184" ht="14.25" customHeight="1">
      <c r="A184" s="60"/>
      <c r="B184" s="60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</row>
    <row r="185" ht="14.25" customHeight="1">
      <c r="A185" s="60"/>
      <c r="B185" s="60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</row>
    <row r="186" ht="14.25" customHeight="1">
      <c r="A186" s="60"/>
      <c r="B186" s="60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</row>
    <row r="187" ht="14.25" customHeight="1">
      <c r="A187" s="60"/>
      <c r="B187" s="60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</row>
    <row r="188" ht="14.25" customHeight="1">
      <c r="A188" s="60"/>
      <c r="B188" s="60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</row>
    <row r="189" ht="14.25" customHeight="1">
      <c r="A189" s="60"/>
      <c r="B189" s="60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</row>
    <row r="190" ht="14.25" customHeight="1">
      <c r="A190" s="60"/>
      <c r="B190" s="60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</row>
    <row r="191" ht="14.25" customHeight="1">
      <c r="A191" s="60"/>
      <c r="B191" s="60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</row>
    <row r="192" ht="14.25" customHeight="1">
      <c r="A192" s="60"/>
      <c r="B192" s="60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</row>
    <row r="193" ht="14.25" customHeight="1">
      <c r="A193" s="60"/>
      <c r="B193" s="60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</row>
    <row r="194" ht="14.25" customHeight="1">
      <c r="A194" s="60"/>
      <c r="B194" s="60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</row>
    <row r="195" ht="14.25" customHeight="1">
      <c r="A195" s="60"/>
      <c r="B195" s="60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</row>
    <row r="196" ht="14.25" customHeight="1">
      <c r="A196" s="60"/>
      <c r="B196" s="60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</row>
    <row r="197" ht="14.25" customHeight="1">
      <c r="A197" s="60"/>
      <c r="B197" s="60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</row>
    <row r="198" ht="14.25" customHeight="1">
      <c r="A198" s="60"/>
      <c r="B198" s="60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</row>
    <row r="199" ht="14.25" customHeight="1">
      <c r="A199" s="60"/>
      <c r="B199" s="60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</row>
    <row r="200" ht="14.25" customHeight="1">
      <c r="A200" s="60"/>
      <c r="B200" s="60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</row>
    <row r="201" ht="14.25" customHeight="1">
      <c r="A201" s="60"/>
      <c r="B201" s="60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</row>
    <row r="202" ht="14.25" customHeight="1">
      <c r="A202" s="60"/>
      <c r="B202" s="60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</row>
    <row r="203" ht="14.25" customHeight="1">
      <c r="A203" s="60"/>
      <c r="B203" s="60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</row>
    <row r="204" ht="14.25" customHeight="1">
      <c r="A204" s="60"/>
      <c r="B204" s="60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</row>
    <row r="205" ht="14.25" customHeight="1">
      <c r="A205" s="60"/>
      <c r="B205" s="60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</row>
    <row r="206" ht="14.25" customHeight="1">
      <c r="A206" s="60"/>
      <c r="B206" s="60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</row>
    <row r="207" ht="14.25" customHeight="1">
      <c r="A207" s="60"/>
      <c r="B207" s="60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</row>
    <row r="208" ht="14.25" customHeight="1">
      <c r="A208" s="60"/>
      <c r="B208" s="60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</row>
    <row r="209" ht="14.25" customHeight="1">
      <c r="A209" s="60"/>
      <c r="B209" s="60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</row>
    <row r="210" ht="14.25" customHeight="1">
      <c r="A210" s="60"/>
      <c r="B210" s="60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</row>
    <row r="211" ht="14.25" customHeight="1">
      <c r="A211" s="60"/>
      <c r="B211" s="60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</row>
    <row r="212" ht="14.25" customHeight="1">
      <c r="A212" s="60"/>
      <c r="B212" s="60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</row>
    <row r="213" ht="14.25" customHeight="1">
      <c r="A213" s="60"/>
      <c r="B213" s="60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</row>
    <row r="214" ht="14.25" customHeight="1">
      <c r="A214" s="60"/>
      <c r="B214" s="60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</row>
    <row r="215" ht="14.25" customHeight="1">
      <c r="A215" s="60"/>
      <c r="B215" s="60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</row>
    <row r="216" ht="14.25" customHeight="1">
      <c r="A216" s="60"/>
      <c r="B216" s="60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</row>
    <row r="217" ht="14.25" customHeight="1">
      <c r="A217" s="60"/>
      <c r="B217" s="60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</row>
    <row r="218" ht="14.25" customHeight="1">
      <c r="A218" s="60"/>
      <c r="B218" s="60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</row>
    <row r="219" ht="14.25" customHeight="1">
      <c r="A219" s="60"/>
      <c r="B219" s="60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</row>
    <row r="220" ht="14.25" customHeight="1">
      <c r="A220" s="60"/>
      <c r="B220" s="60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</row>
    <row r="221" ht="14.25" customHeight="1">
      <c r="A221" s="60"/>
      <c r="B221" s="60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</row>
    <row r="222" ht="14.25" customHeight="1">
      <c r="A222" s="60"/>
      <c r="B222" s="60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</row>
    <row r="223" ht="14.25" customHeight="1">
      <c r="A223" s="60"/>
      <c r="B223" s="60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</row>
    <row r="224" ht="14.25" customHeight="1">
      <c r="A224" s="60"/>
      <c r="B224" s="60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</row>
    <row r="225" ht="14.25" customHeight="1">
      <c r="A225" s="60"/>
      <c r="B225" s="60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</row>
    <row r="226" ht="14.25" customHeight="1">
      <c r="A226" s="60"/>
      <c r="B226" s="60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</row>
    <row r="227" ht="14.25" customHeight="1">
      <c r="A227" s="60"/>
      <c r="B227" s="60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</row>
    <row r="228" ht="14.25" customHeight="1">
      <c r="A228" s="60"/>
      <c r="B228" s="60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</row>
    <row r="229" ht="14.25" customHeight="1">
      <c r="A229" s="60"/>
      <c r="B229" s="60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</row>
    <row r="230" ht="14.25" customHeight="1">
      <c r="A230" s="60"/>
      <c r="B230" s="60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</row>
    <row r="231" ht="14.25" customHeight="1">
      <c r="A231" s="60"/>
      <c r="B231" s="60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</row>
    <row r="232" ht="14.25" customHeight="1">
      <c r="A232" s="60"/>
      <c r="B232" s="60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</row>
    <row r="233" ht="14.25" customHeight="1">
      <c r="A233" s="60"/>
      <c r="B233" s="60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</row>
    <row r="234" ht="14.25" customHeight="1">
      <c r="A234" s="60"/>
      <c r="B234" s="60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</row>
    <row r="235" ht="14.25" customHeight="1">
      <c r="A235" s="60"/>
      <c r="B235" s="60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</row>
    <row r="236" ht="14.25" customHeight="1">
      <c r="A236" s="60"/>
      <c r="B236" s="60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</row>
    <row r="237" ht="14.25" customHeight="1">
      <c r="A237" s="60"/>
      <c r="B237" s="60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</row>
    <row r="238" ht="14.25" customHeight="1">
      <c r="A238" s="60"/>
      <c r="B238" s="60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</row>
    <row r="239" ht="14.25" customHeight="1">
      <c r="A239" s="60"/>
      <c r="B239" s="60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</row>
    <row r="240" ht="14.25" customHeight="1">
      <c r="A240" s="60"/>
      <c r="B240" s="60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</row>
    <row r="241" ht="14.25" customHeight="1">
      <c r="A241" s="60"/>
      <c r="B241" s="60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</row>
    <row r="242" ht="14.25" customHeight="1">
      <c r="A242" s="60"/>
      <c r="B242" s="60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</row>
    <row r="243" ht="14.25" customHeight="1">
      <c r="A243" s="60"/>
      <c r="B243" s="60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</row>
    <row r="244" ht="14.25" customHeight="1">
      <c r="A244" s="60"/>
      <c r="B244" s="60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</row>
    <row r="245" ht="14.25" customHeight="1">
      <c r="A245" s="60"/>
      <c r="B245" s="60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</row>
    <row r="246" ht="14.25" customHeight="1">
      <c r="A246" s="60"/>
      <c r="B246" s="60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</row>
    <row r="247" ht="14.25" customHeight="1">
      <c r="A247" s="60"/>
      <c r="B247" s="60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</row>
    <row r="248" ht="14.25" customHeight="1">
      <c r="A248" s="60"/>
      <c r="B248" s="60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</row>
    <row r="249" ht="14.25" customHeight="1">
      <c r="A249" s="60"/>
      <c r="B249" s="60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</row>
    <row r="250" ht="14.25" customHeight="1">
      <c r="A250" s="60"/>
      <c r="B250" s="60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</row>
    <row r="251" ht="14.25" customHeight="1">
      <c r="A251" s="60"/>
      <c r="B251" s="60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</row>
    <row r="252" ht="14.25" customHeight="1">
      <c r="A252" s="60"/>
      <c r="B252" s="60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</row>
    <row r="253" ht="14.25" customHeight="1">
      <c r="A253" s="60"/>
      <c r="B253" s="60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</row>
    <row r="254" ht="14.25" customHeight="1">
      <c r="A254" s="60"/>
      <c r="B254" s="60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</row>
    <row r="255" ht="14.25" customHeight="1">
      <c r="A255" s="60"/>
      <c r="B255" s="60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</row>
    <row r="256" ht="14.25" customHeight="1">
      <c r="A256" s="60"/>
      <c r="B256" s="60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</row>
    <row r="257" ht="14.25" customHeight="1">
      <c r="A257" s="60"/>
      <c r="B257" s="60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</row>
    <row r="258" ht="14.25" customHeight="1">
      <c r="A258" s="60"/>
      <c r="B258" s="60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</row>
    <row r="259" ht="14.25" customHeight="1">
      <c r="A259" s="60"/>
      <c r="B259" s="60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</row>
    <row r="260" ht="14.25" customHeight="1">
      <c r="A260" s="60"/>
      <c r="B260" s="60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</row>
    <row r="261" ht="14.25" customHeight="1">
      <c r="A261" s="60"/>
      <c r="B261" s="60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</row>
    <row r="262" ht="14.25" customHeight="1">
      <c r="A262" s="60"/>
      <c r="B262" s="60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</row>
    <row r="263" ht="14.25" customHeight="1">
      <c r="A263" s="60"/>
      <c r="B263" s="60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</row>
    <row r="264" ht="14.25" customHeight="1">
      <c r="A264" s="60"/>
      <c r="B264" s="60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</row>
    <row r="265" ht="14.25" customHeight="1">
      <c r="A265" s="60"/>
      <c r="B265" s="60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</row>
    <row r="266" ht="14.25" customHeight="1">
      <c r="A266" s="60"/>
      <c r="B266" s="60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</row>
    <row r="267" ht="14.25" customHeight="1">
      <c r="A267" s="60"/>
      <c r="B267" s="60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</row>
    <row r="268" ht="14.25" customHeight="1">
      <c r="A268" s="60"/>
      <c r="B268" s="60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</row>
    <row r="269" ht="14.25" customHeight="1">
      <c r="A269" s="60"/>
      <c r="B269" s="60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</row>
    <row r="270" ht="14.25" customHeight="1">
      <c r="A270" s="60"/>
      <c r="B270" s="60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</row>
    <row r="271" ht="14.25" customHeight="1">
      <c r="A271" s="60"/>
      <c r="B271" s="60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</row>
    <row r="272" ht="14.25" customHeight="1">
      <c r="A272" s="60"/>
      <c r="B272" s="60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</row>
    <row r="273" ht="14.25" customHeight="1">
      <c r="A273" s="60"/>
      <c r="B273" s="60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</row>
    <row r="274" ht="14.25" customHeight="1">
      <c r="A274" s="60"/>
      <c r="B274" s="60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</row>
    <row r="275" ht="14.25" customHeight="1">
      <c r="A275" s="60"/>
      <c r="B275" s="60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</row>
    <row r="276" ht="14.25" customHeight="1">
      <c r="A276" s="60"/>
      <c r="B276" s="60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</row>
    <row r="277" ht="14.25" customHeight="1">
      <c r="A277" s="60"/>
      <c r="B277" s="60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</row>
    <row r="278" ht="14.25" customHeight="1">
      <c r="A278" s="60"/>
      <c r="B278" s="60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</row>
    <row r="279" ht="14.25" customHeight="1">
      <c r="A279" s="60"/>
      <c r="B279" s="60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</row>
    <row r="280" ht="14.25" customHeight="1">
      <c r="A280" s="60"/>
      <c r="B280" s="60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</row>
    <row r="281" ht="14.25" customHeight="1">
      <c r="A281" s="60"/>
      <c r="B281" s="60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</row>
    <row r="282" ht="14.25" customHeight="1">
      <c r="A282" s="60"/>
      <c r="B282" s="60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</row>
    <row r="283" ht="14.25" customHeight="1">
      <c r="A283" s="60"/>
      <c r="B283" s="60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</row>
    <row r="284" ht="14.25" customHeight="1">
      <c r="A284" s="60"/>
      <c r="B284" s="60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</row>
    <row r="285" ht="14.25" customHeight="1">
      <c r="A285" s="60"/>
      <c r="B285" s="60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</row>
    <row r="286" ht="14.25" customHeight="1">
      <c r="A286" s="60"/>
      <c r="B286" s="60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</row>
    <row r="287" ht="14.25" customHeight="1">
      <c r="A287" s="60"/>
      <c r="B287" s="60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</row>
    <row r="288" ht="14.25" customHeight="1">
      <c r="A288" s="60"/>
      <c r="B288" s="60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</row>
    <row r="289" ht="14.25" customHeight="1">
      <c r="A289" s="60"/>
      <c r="B289" s="60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</row>
    <row r="290" ht="14.25" customHeight="1">
      <c r="A290" s="60"/>
      <c r="B290" s="60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</row>
    <row r="291" ht="14.25" customHeight="1">
      <c r="A291" s="60"/>
      <c r="B291" s="60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</row>
    <row r="292" ht="14.25" customHeight="1">
      <c r="A292" s="60"/>
      <c r="B292" s="60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</row>
    <row r="293" ht="14.25" customHeight="1">
      <c r="A293" s="60"/>
      <c r="B293" s="60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</row>
    <row r="294" ht="14.25" customHeight="1">
      <c r="A294" s="60"/>
      <c r="B294" s="60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</row>
    <row r="295" ht="14.25" customHeight="1">
      <c r="A295" s="60"/>
      <c r="B295" s="60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</row>
    <row r="296" ht="14.25" customHeight="1">
      <c r="A296" s="60"/>
      <c r="B296" s="60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</row>
    <row r="297" ht="14.25" customHeight="1">
      <c r="A297" s="60"/>
      <c r="B297" s="60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</row>
    <row r="298" ht="14.25" customHeight="1">
      <c r="A298" s="60"/>
      <c r="B298" s="60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</row>
    <row r="299" ht="14.25" customHeight="1">
      <c r="A299" s="60"/>
      <c r="B299" s="60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</row>
    <row r="300" ht="14.25" customHeight="1">
      <c r="A300" s="60"/>
      <c r="B300" s="60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</row>
    <row r="301" ht="14.25" customHeight="1">
      <c r="A301" s="60"/>
      <c r="B301" s="60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</row>
    <row r="302" ht="14.25" customHeight="1">
      <c r="A302" s="60"/>
      <c r="B302" s="60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</row>
    <row r="303" ht="14.25" customHeight="1">
      <c r="A303" s="60"/>
      <c r="B303" s="60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</row>
    <row r="304" ht="14.25" customHeight="1">
      <c r="A304" s="60"/>
      <c r="B304" s="60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</row>
    <row r="305" ht="14.25" customHeight="1">
      <c r="A305" s="60"/>
      <c r="B305" s="60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</row>
    <row r="306" ht="14.25" customHeight="1">
      <c r="A306" s="60"/>
      <c r="B306" s="60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</row>
    <row r="307" ht="14.25" customHeight="1">
      <c r="A307" s="60"/>
      <c r="B307" s="60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</row>
    <row r="308" ht="14.25" customHeight="1">
      <c r="A308" s="60"/>
      <c r="B308" s="60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</row>
    <row r="309" ht="14.25" customHeight="1">
      <c r="A309" s="60"/>
      <c r="B309" s="60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</row>
    <row r="310" ht="14.25" customHeight="1">
      <c r="A310" s="60"/>
      <c r="B310" s="60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</row>
    <row r="311" ht="14.25" customHeight="1">
      <c r="A311" s="60"/>
      <c r="B311" s="60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</row>
    <row r="312" ht="14.25" customHeight="1">
      <c r="A312" s="60"/>
      <c r="B312" s="60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</row>
    <row r="313" ht="14.25" customHeight="1">
      <c r="A313" s="60"/>
      <c r="B313" s="60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</row>
    <row r="314" ht="14.25" customHeight="1">
      <c r="A314" s="60"/>
      <c r="B314" s="60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</row>
    <row r="315" ht="14.25" customHeight="1">
      <c r="A315" s="60"/>
      <c r="B315" s="60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</row>
    <row r="316" ht="14.25" customHeight="1">
      <c r="A316" s="60"/>
      <c r="B316" s="60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</row>
    <row r="317" ht="14.25" customHeight="1">
      <c r="A317" s="60"/>
      <c r="B317" s="60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</row>
    <row r="318" ht="14.25" customHeight="1">
      <c r="A318" s="60"/>
      <c r="B318" s="60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</row>
    <row r="319" ht="14.25" customHeight="1">
      <c r="A319" s="60"/>
      <c r="B319" s="60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</row>
    <row r="320" ht="14.25" customHeight="1">
      <c r="A320" s="60"/>
      <c r="B320" s="60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</row>
    <row r="321" ht="14.25" customHeight="1">
      <c r="A321" s="60"/>
      <c r="B321" s="60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</row>
    <row r="322" ht="14.25" customHeight="1">
      <c r="A322" s="60"/>
      <c r="B322" s="60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</row>
    <row r="323" ht="14.25" customHeight="1">
      <c r="A323" s="60"/>
      <c r="B323" s="60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</row>
    <row r="324" ht="14.25" customHeight="1">
      <c r="A324" s="60"/>
      <c r="B324" s="60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</row>
    <row r="325" ht="14.25" customHeight="1">
      <c r="A325" s="60"/>
      <c r="B325" s="60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</row>
    <row r="326" ht="14.25" customHeight="1">
      <c r="A326" s="60"/>
      <c r="B326" s="60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</row>
    <row r="327" ht="14.25" customHeight="1">
      <c r="A327" s="60"/>
      <c r="B327" s="60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</row>
    <row r="328" ht="14.25" customHeight="1">
      <c r="A328" s="60"/>
      <c r="B328" s="60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</row>
    <row r="329" ht="14.25" customHeight="1">
      <c r="A329" s="60"/>
      <c r="B329" s="60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</row>
    <row r="330" ht="14.25" customHeight="1">
      <c r="A330" s="60"/>
      <c r="B330" s="60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</row>
    <row r="331" ht="14.25" customHeight="1">
      <c r="A331" s="60"/>
      <c r="B331" s="60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</row>
    <row r="332" ht="14.25" customHeight="1">
      <c r="A332" s="60"/>
      <c r="B332" s="60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</row>
    <row r="333" ht="14.25" customHeight="1">
      <c r="A333" s="60"/>
      <c r="B333" s="60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</row>
    <row r="334" ht="14.25" customHeight="1">
      <c r="A334" s="60"/>
      <c r="B334" s="60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</row>
    <row r="335" ht="14.25" customHeight="1">
      <c r="A335" s="60"/>
      <c r="B335" s="60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</row>
    <row r="336" ht="14.25" customHeight="1">
      <c r="A336" s="60"/>
      <c r="B336" s="60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</row>
    <row r="337" ht="14.25" customHeight="1">
      <c r="A337" s="60"/>
      <c r="B337" s="60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</row>
    <row r="338" ht="14.25" customHeight="1">
      <c r="A338" s="60"/>
      <c r="B338" s="60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</row>
    <row r="339" ht="14.25" customHeight="1">
      <c r="A339" s="60"/>
      <c r="B339" s="60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</row>
    <row r="340" ht="14.25" customHeight="1">
      <c r="A340" s="60"/>
      <c r="B340" s="60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</row>
    <row r="341" ht="14.25" customHeight="1">
      <c r="A341" s="60"/>
      <c r="B341" s="60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</row>
    <row r="342" ht="14.25" customHeight="1">
      <c r="A342" s="60"/>
      <c r="B342" s="60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</row>
    <row r="343" ht="14.25" customHeight="1">
      <c r="A343" s="60"/>
      <c r="B343" s="60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</row>
    <row r="344" ht="14.25" customHeight="1">
      <c r="A344" s="60"/>
      <c r="B344" s="60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</row>
    <row r="345" ht="14.25" customHeight="1">
      <c r="A345" s="60"/>
      <c r="B345" s="60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</row>
    <row r="346" ht="14.25" customHeight="1">
      <c r="A346" s="60"/>
      <c r="B346" s="60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</row>
    <row r="347" ht="14.25" customHeight="1">
      <c r="A347" s="60"/>
      <c r="B347" s="60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</row>
    <row r="348" ht="14.25" customHeight="1">
      <c r="A348" s="60"/>
      <c r="B348" s="60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</row>
    <row r="349" ht="14.25" customHeight="1">
      <c r="A349" s="60"/>
      <c r="B349" s="60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</row>
    <row r="350" ht="14.25" customHeight="1">
      <c r="A350" s="60"/>
      <c r="B350" s="60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</row>
    <row r="351" ht="14.25" customHeight="1">
      <c r="A351" s="60"/>
      <c r="B351" s="60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</row>
    <row r="352" ht="14.25" customHeight="1">
      <c r="A352" s="60"/>
      <c r="B352" s="60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</row>
    <row r="353" ht="14.25" customHeight="1">
      <c r="A353" s="60"/>
      <c r="B353" s="60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</row>
    <row r="354" ht="14.25" customHeight="1">
      <c r="A354" s="60"/>
      <c r="B354" s="60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</row>
    <row r="355" ht="14.25" customHeight="1">
      <c r="A355" s="60"/>
      <c r="B355" s="60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</row>
    <row r="356" ht="14.25" customHeight="1">
      <c r="A356" s="60"/>
      <c r="B356" s="60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</row>
    <row r="357" ht="14.25" customHeight="1">
      <c r="A357" s="60"/>
      <c r="B357" s="60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</row>
    <row r="358" ht="14.25" customHeight="1">
      <c r="A358" s="60"/>
      <c r="B358" s="60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</row>
    <row r="359" ht="14.25" customHeight="1">
      <c r="A359" s="60"/>
      <c r="B359" s="60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</row>
    <row r="360" ht="14.25" customHeight="1">
      <c r="A360" s="60"/>
      <c r="B360" s="60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</row>
    <row r="361" ht="14.25" customHeight="1">
      <c r="A361" s="60"/>
      <c r="B361" s="60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</row>
    <row r="362" ht="14.25" customHeight="1">
      <c r="A362" s="60"/>
      <c r="B362" s="60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</row>
    <row r="363" ht="14.25" customHeight="1">
      <c r="A363" s="60"/>
      <c r="B363" s="60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</row>
    <row r="364" ht="14.25" customHeight="1">
      <c r="A364" s="60"/>
      <c r="B364" s="60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</row>
    <row r="365" ht="14.25" customHeight="1">
      <c r="A365" s="60"/>
      <c r="B365" s="60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</row>
    <row r="366" ht="14.25" customHeight="1">
      <c r="A366" s="60"/>
      <c r="B366" s="60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</row>
    <row r="367" ht="14.25" customHeight="1">
      <c r="A367" s="60"/>
      <c r="B367" s="60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</row>
    <row r="368" ht="14.25" customHeight="1">
      <c r="A368" s="60"/>
      <c r="B368" s="60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</row>
    <row r="369" ht="14.25" customHeight="1">
      <c r="A369" s="60"/>
      <c r="B369" s="60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</row>
    <row r="370" ht="14.25" customHeight="1">
      <c r="A370" s="60"/>
      <c r="B370" s="60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</row>
    <row r="371" ht="14.25" customHeight="1">
      <c r="A371" s="60"/>
      <c r="B371" s="60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</row>
    <row r="372" ht="14.25" customHeight="1">
      <c r="A372" s="60"/>
      <c r="B372" s="60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</row>
    <row r="373" ht="14.25" customHeight="1">
      <c r="A373" s="60"/>
      <c r="B373" s="60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</row>
    <row r="374" ht="14.25" customHeight="1">
      <c r="A374" s="60"/>
      <c r="B374" s="60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</row>
    <row r="375" ht="14.25" customHeight="1">
      <c r="A375" s="60"/>
      <c r="B375" s="60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</row>
    <row r="376" ht="14.25" customHeight="1">
      <c r="A376" s="60"/>
      <c r="B376" s="60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</row>
    <row r="377" ht="14.25" customHeight="1">
      <c r="A377" s="60"/>
      <c r="B377" s="60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</row>
    <row r="378" ht="14.25" customHeight="1">
      <c r="A378" s="60"/>
      <c r="B378" s="60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</row>
    <row r="379" ht="14.25" customHeight="1">
      <c r="A379" s="60"/>
      <c r="B379" s="60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</row>
    <row r="380" ht="14.25" customHeight="1">
      <c r="A380" s="60"/>
      <c r="B380" s="60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</row>
    <row r="381" ht="14.25" customHeight="1">
      <c r="A381" s="60"/>
      <c r="B381" s="60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</row>
    <row r="382" ht="14.25" customHeight="1">
      <c r="A382" s="60"/>
      <c r="B382" s="60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</row>
    <row r="383" ht="14.25" customHeight="1">
      <c r="A383" s="60"/>
      <c r="B383" s="60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</row>
    <row r="384" ht="14.25" customHeight="1">
      <c r="A384" s="60"/>
      <c r="B384" s="60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</row>
    <row r="385" ht="14.25" customHeight="1">
      <c r="A385" s="60"/>
      <c r="B385" s="60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</row>
    <row r="386" ht="14.25" customHeight="1">
      <c r="A386" s="60"/>
      <c r="B386" s="60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</row>
    <row r="387" ht="14.25" customHeight="1">
      <c r="A387" s="60"/>
      <c r="B387" s="60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</row>
    <row r="388" ht="14.25" customHeight="1">
      <c r="A388" s="60"/>
      <c r="B388" s="60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</row>
    <row r="389" ht="14.25" customHeight="1">
      <c r="A389" s="60"/>
      <c r="B389" s="60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</row>
    <row r="390" ht="14.25" customHeight="1">
      <c r="A390" s="60"/>
      <c r="B390" s="60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</row>
    <row r="391" ht="14.25" customHeight="1">
      <c r="A391" s="60"/>
      <c r="B391" s="60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</row>
    <row r="392" ht="14.25" customHeight="1">
      <c r="A392" s="60"/>
      <c r="B392" s="60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</row>
    <row r="393" ht="14.25" customHeight="1">
      <c r="A393" s="60"/>
      <c r="B393" s="60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</row>
    <row r="394" ht="14.25" customHeight="1">
      <c r="A394" s="60"/>
      <c r="B394" s="60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</row>
    <row r="395" ht="14.25" customHeight="1">
      <c r="A395" s="60"/>
      <c r="B395" s="60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</row>
    <row r="396" ht="14.25" customHeight="1">
      <c r="A396" s="60"/>
      <c r="B396" s="60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</row>
    <row r="397" ht="14.25" customHeight="1">
      <c r="A397" s="60"/>
      <c r="B397" s="60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</row>
    <row r="398" ht="14.25" customHeight="1">
      <c r="A398" s="60"/>
      <c r="B398" s="60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</row>
    <row r="399" ht="14.25" customHeight="1">
      <c r="A399" s="60"/>
      <c r="B399" s="60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</row>
    <row r="400" ht="14.25" customHeight="1">
      <c r="A400" s="60"/>
      <c r="B400" s="60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</row>
    <row r="401" ht="14.25" customHeight="1">
      <c r="A401" s="60"/>
      <c r="B401" s="60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</row>
    <row r="402" ht="14.25" customHeight="1">
      <c r="A402" s="60"/>
      <c r="B402" s="60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</row>
    <row r="403" ht="14.25" customHeight="1">
      <c r="A403" s="60"/>
      <c r="B403" s="60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</row>
    <row r="404" ht="14.25" customHeight="1">
      <c r="A404" s="60"/>
      <c r="B404" s="60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</row>
    <row r="405" ht="14.25" customHeight="1">
      <c r="A405" s="60"/>
      <c r="B405" s="60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</row>
    <row r="406" ht="14.25" customHeight="1">
      <c r="A406" s="60"/>
      <c r="B406" s="60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</row>
    <row r="407" ht="14.25" customHeight="1">
      <c r="A407" s="60"/>
      <c r="B407" s="60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</row>
    <row r="408" ht="14.25" customHeight="1">
      <c r="A408" s="60"/>
      <c r="B408" s="60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</row>
    <row r="409" ht="14.25" customHeight="1">
      <c r="A409" s="60"/>
      <c r="B409" s="60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</row>
    <row r="410" ht="14.25" customHeight="1">
      <c r="A410" s="60"/>
      <c r="B410" s="60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</row>
    <row r="411" ht="14.25" customHeight="1">
      <c r="A411" s="60"/>
      <c r="B411" s="60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</row>
    <row r="412" ht="14.25" customHeight="1">
      <c r="A412" s="60"/>
      <c r="B412" s="60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</row>
    <row r="413" ht="14.25" customHeight="1">
      <c r="A413" s="60"/>
      <c r="B413" s="60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</row>
    <row r="414" ht="14.25" customHeight="1">
      <c r="A414" s="60"/>
      <c r="B414" s="60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</row>
    <row r="415" ht="14.25" customHeight="1">
      <c r="A415" s="60"/>
      <c r="B415" s="60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</row>
    <row r="416" ht="14.25" customHeight="1">
      <c r="A416" s="60"/>
      <c r="B416" s="60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</row>
    <row r="417" ht="14.25" customHeight="1">
      <c r="A417" s="60"/>
      <c r="B417" s="60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</row>
    <row r="418" ht="14.25" customHeight="1">
      <c r="A418" s="60"/>
      <c r="B418" s="60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</row>
    <row r="419" ht="14.25" customHeight="1">
      <c r="A419" s="60"/>
      <c r="B419" s="60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</row>
    <row r="420" ht="14.25" customHeight="1">
      <c r="A420" s="60"/>
      <c r="B420" s="60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</row>
    <row r="421" ht="14.25" customHeight="1">
      <c r="A421" s="60"/>
      <c r="B421" s="60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</row>
    <row r="422" ht="14.25" customHeight="1">
      <c r="A422" s="60"/>
      <c r="B422" s="60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</row>
    <row r="423" ht="14.25" customHeight="1">
      <c r="A423" s="60"/>
      <c r="B423" s="60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</row>
    <row r="424" ht="14.25" customHeight="1">
      <c r="A424" s="60"/>
      <c r="B424" s="60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</row>
    <row r="425" ht="14.25" customHeight="1">
      <c r="A425" s="60"/>
      <c r="B425" s="60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</row>
    <row r="426" ht="14.25" customHeight="1">
      <c r="A426" s="60"/>
      <c r="B426" s="60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</row>
    <row r="427" ht="14.25" customHeight="1">
      <c r="A427" s="60"/>
      <c r="B427" s="60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</row>
    <row r="428" ht="14.25" customHeight="1">
      <c r="A428" s="60"/>
      <c r="B428" s="60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</row>
    <row r="429" ht="14.25" customHeight="1">
      <c r="A429" s="60"/>
      <c r="B429" s="60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</row>
    <row r="430" ht="14.25" customHeight="1">
      <c r="A430" s="60"/>
      <c r="B430" s="60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</row>
    <row r="431" ht="14.25" customHeight="1">
      <c r="A431" s="60"/>
      <c r="B431" s="60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</row>
    <row r="432" ht="14.25" customHeight="1">
      <c r="A432" s="60"/>
      <c r="B432" s="60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</row>
    <row r="433" ht="14.25" customHeight="1">
      <c r="A433" s="60"/>
      <c r="B433" s="60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</row>
    <row r="434" ht="14.25" customHeight="1">
      <c r="A434" s="60"/>
      <c r="B434" s="60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</row>
    <row r="435" ht="14.25" customHeight="1">
      <c r="A435" s="60"/>
      <c r="B435" s="60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</row>
    <row r="436" ht="14.25" customHeight="1">
      <c r="A436" s="60"/>
      <c r="B436" s="60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</row>
    <row r="437" ht="14.25" customHeight="1">
      <c r="A437" s="60"/>
      <c r="B437" s="60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</row>
    <row r="438" ht="14.25" customHeight="1">
      <c r="A438" s="60"/>
      <c r="B438" s="60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</row>
    <row r="439" ht="14.25" customHeight="1">
      <c r="A439" s="60"/>
      <c r="B439" s="60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</row>
    <row r="440" ht="14.25" customHeight="1">
      <c r="A440" s="60"/>
      <c r="B440" s="60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</row>
    <row r="441" ht="14.25" customHeight="1">
      <c r="A441" s="60"/>
      <c r="B441" s="60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</row>
    <row r="442" ht="14.25" customHeight="1">
      <c r="A442" s="60"/>
      <c r="B442" s="60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</row>
    <row r="443" ht="14.25" customHeight="1">
      <c r="A443" s="60"/>
      <c r="B443" s="60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</row>
    <row r="444" ht="14.25" customHeight="1">
      <c r="A444" s="60"/>
      <c r="B444" s="60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</row>
    <row r="445" ht="14.25" customHeight="1">
      <c r="A445" s="60"/>
      <c r="B445" s="60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</row>
    <row r="446" ht="14.25" customHeight="1">
      <c r="A446" s="60"/>
      <c r="B446" s="60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</row>
    <row r="447" ht="14.25" customHeight="1">
      <c r="A447" s="60"/>
      <c r="B447" s="60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</row>
    <row r="448" ht="14.25" customHeight="1">
      <c r="A448" s="60"/>
      <c r="B448" s="60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</row>
    <row r="449" ht="14.25" customHeight="1">
      <c r="A449" s="60"/>
      <c r="B449" s="60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</row>
    <row r="450" ht="14.25" customHeight="1">
      <c r="A450" s="60"/>
      <c r="B450" s="60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</row>
    <row r="451" ht="14.25" customHeight="1">
      <c r="A451" s="60"/>
      <c r="B451" s="60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</row>
    <row r="452" ht="14.25" customHeight="1">
      <c r="A452" s="60"/>
      <c r="B452" s="60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</row>
    <row r="453" ht="14.25" customHeight="1">
      <c r="A453" s="60"/>
      <c r="B453" s="60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</row>
    <row r="454" ht="14.25" customHeight="1">
      <c r="A454" s="60"/>
      <c r="B454" s="60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</row>
    <row r="455" ht="14.25" customHeight="1">
      <c r="A455" s="60"/>
      <c r="B455" s="60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</row>
    <row r="456" ht="14.25" customHeight="1">
      <c r="A456" s="60"/>
      <c r="B456" s="60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</row>
    <row r="457" ht="14.25" customHeight="1">
      <c r="A457" s="60"/>
      <c r="B457" s="60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</row>
    <row r="458" ht="14.25" customHeight="1">
      <c r="A458" s="60"/>
      <c r="B458" s="60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</row>
    <row r="459" ht="14.25" customHeight="1">
      <c r="A459" s="60"/>
      <c r="B459" s="60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</row>
    <row r="460" ht="14.25" customHeight="1">
      <c r="A460" s="60"/>
      <c r="B460" s="60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</row>
    <row r="461" ht="14.25" customHeight="1">
      <c r="A461" s="60"/>
      <c r="B461" s="60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</row>
    <row r="462" ht="14.25" customHeight="1">
      <c r="A462" s="60"/>
      <c r="B462" s="60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</row>
    <row r="463" ht="14.25" customHeight="1">
      <c r="A463" s="60"/>
      <c r="B463" s="60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</row>
    <row r="464" ht="14.25" customHeight="1">
      <c r="A464" s="60"/>
      <c r="B464" s="60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</row>
    <row r="465" ht="14.25" customHeight="1">
      <c r="A465" s="60"/>
      <c r="B465" s="60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</row>
    <row r="466" ht="14.25" customHeight="1">
      <c r="A466" s="60"/>
      <c r="B466" s="60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</row>
    <row r="467" ht="14.25" customHeight="1">
      <c r="A467" s="60"/>
      <c r="B467" s="60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</row>
    <row r="468" ht="14.25" customHeight="1">
      <c r="A468" s="60"/>
      <c r="B468" s="60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</row>
    <row r="469" ht="14.25" customHeight="1">
      <c r="A469" s="60"/>
      <c r="B469" s="60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</row>
    <row r="470" ht="14.25" customHeight="1">
      <c r="A470" s="60"/>
      <c r="B470" s="60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</row>
    <row r="471" ht="14.25" customHeight="1">
      <c r="A471" s="60"/>
      <c r="B471" s="60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</row>
    <row r="472" ht="14.25" customHeight="1">
      <c r="A472" s="60"/>
      <c r="B472" s="60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</row>
    <row r="473" ht="14.25" customHeight="1">
      <c r="A473" s="60"/>
      <c r="B473" s="60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</row>
    <row r="474" ht="14.25" customHeight="1">
      <c r="A474" s="60"/>
      <c r="B474" s="60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</row>
    <row r="475" ht="14.25" customHeight="1">
      <c r="A475" s="60"/>
      <c r="B475" s="60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</row>
    <row r="476" ht="14.25" customHeight="1">
      <c r="A476" s="60"/>
      <c r="B476" s="60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</row>
    <row r="477" ht="14.25" customHeight="1">
      <c r="A477" s="60"/>
      <c r="B477" s="60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</row>
    <row r="478" ht="14.25" customHeight="1">
      <c r="A478" s="60"/>
      <c r="B478" s="60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</row>
    <row r="479" ht="14.25" customHeight="1">
      <c r="A479" s="60"/>
      <c r="B479" s="60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</row>
    <row r="480" ht="14.25" customHeight="1">
      <c r="A480" s="60"/>
      <c r="B480" s="60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</row>
    <row r="481" ht="14.25" customHeight="1">
      <c r="A481" s="60"/>
      <c r="B481" s="60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</row>
    <row r="482" ht="14.25" customHeight="1">
      <c r="A482" s="60"/>
      <c r="B482" s="60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</row>
    <row r="483" ht="14.25" customHeight="1">
      <c r="A483" s="60"/>
      <c r="B483" s="60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</row>
    <row r="484" ht="14.25" customHeight="1">
      <c r="A484" s="60"/>
      <c r="B484" s="60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</row>
    <row r="485" ht="14.25" customHeight="1">
      <c r="A485" s="60"/>
      <c r="B485" s="60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</row>
    <row r="486" ht="14.25" customHeight="1">
      <c r="A486" s="60"/>
      <c r="B486" s="60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</row>
    <row r="487" ht="14.25" customHeight="1">
      <c r="A487" s="60"/>
      <c r="B487" s="60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</row>
    <row r="488" ht="14.25" customHeight="1">
      <c r="A488" s="60"/>
      <c r="B488" s="60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</row>
    <row r="489" ht="14.25" customHeight="1">
      <c r="A489" s="60"/>
      <c r="B489" s="60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</row>
    <row r="490" ht="14.25" customHeight="1">
      <c r="A490" s="60"/>
      <c r="B490" s="60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</row>
    <row r="491" ht="14.25" customHeight="1">
      <c r="A491" s="60"/>
      <c r="B491" s="60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</row>
    <row r="492" ht="14.25" customHeight="1">
      <c r="A492" s="60"/>
      <c r="B492" s="60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</row>
    <row r="493" ht="14.25" customHeight="1">
      <c r="A493" s="60"/>
      <c r="B493" s="60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</row>
    <row r="494" ht="14.25" customHeight="1">
      <c r="A494" s="60"/>
      <c r="B494" s="60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</row>
    <row r="495" ht="14.25" customHeight="1">
      <c r="A495" s="60"/>
      <c r="B495" s="60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</row>
    <row r="496" ht="14.25" customHeight="1">
      <c r="A496" s="60"/>
      <c r="B496" s="60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</row>
    <row r="497" ht="14.25" customHeight="1">
      <c r="A497" s="60"/>
      <c r="B497" s="60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</row>
    <row r="498" ht="14.25" customHeight="1">
      <c r="A498" s="60"/>
      <c r="B498" s="60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</row>
    <row r="499" ht="14.25" customHeight="1">
      <c r="A499" s="60"/>
      <c r="B499" s="60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</row>
    <row r="500" ht="14.25" customHeight="1">
      <c r="A500" s="60"/>
      <c r="B500" s="60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</row>
    <row r="501" ht="14.25" customHeight="1">
      <c r="A501" s="60"/>
      <c r="B501" s="60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</row>
    <row r="502" ht="14.25" customHeight="1">
      <c r="A502" s="60"/>
      <c r="B502" s="60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</row>
    <row r="503" ht="14.25" customHeight="1">
      <c r="A503" s="60"/>
      <c r="B503" s="60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</row>
    <row r="504" ht="14.25" customHeight="1">
      <c r="A504" s="60"/>
      <c r="B504" s="60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</row>
    <row r="505" ht="14.25" customHeight="1">
      <c r="A505" s="60"/>
      <c r="B505" s="60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</row>
    <row r="506" ht="14.25" customHeight="1">
      <c r="A506" s="60"/>
      <c r="B506" s="60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</row>
    <row r="507" ht="14.25" customHeight="1">
      <c r="A507" s="60"/>
      <c r="B507" s="60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</row>
    <row r="508" ht="14.25" customHeight="1">
      <c r="A508" s="60"/>
      <c r="B508" s="60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</row>
    <row r="509" ht="14.25" customHeight="1">
      <c r="A509" s="60"/>
      <c r="B509" s="60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</row>
    <row r="510" ht="14.25" customHeight="1">
      <c r="A510" s="60"/>
      <c r="B510" s="60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</row>
    <row r="511" ht="14.25" customHeight="1">
      <c r="A511" s="60"/>
      <c r="B511" s="60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</row>
    <row r="512" ht="14.25" customHeight="1">
      <c r="A512" s="60"/>
      <c r="B512" s="60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</row>
    <row r="513" ht="14.25" customHeight="1">
      <c r="A513" s="60"/>
      <c r="B513" s="60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</row>
    <row r="514" ht="14.25" customHeight="1">
      <c r="A514" s="60"/>
      <c r="B514" s="60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</row>
    <row r="515" ht="14.25" customHeight="1">
      <c r="A515" s="60"/>
      <c r="B515" s="60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</row>
    <row r="516" ht="14.25" customHeight="1">
      <c r="A516" s="60"/>
      <c r="B516" s="60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</row>
    <row r="517" ht="14.25" customHeight="1">
      <c r="A517" s="60"/>
      <c r="B517" s="60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</row>
    <row r="518" ht="14.25" customHeight="1">
      <c r="A518" s="60"/>
      <c r="B518" s="60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</row>
    <row r="519" ht="14.25" customHeight="1">
      <c r="A519" s="60"/>
      <c r="B519" s="60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</row>
    <row r="520" ht="14.25" customHeight="1">
      <c r="A520" s="60"/>
      <c r="B520" s="60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</row>
    <row r="521" ht="14.25" customHeight="1">
      <c r="A521" s="60"/>
      <c r="B521" s="60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</row>
    <row r="522" ht="14.25" customHeight="1">
      <c r="A522" s="60"/>
      <c r="B522" s="60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</row>
    <row r="523" ht="14.25" customHeight="1">
      <c r="A523" s="60"/>
      <c r="B523" s="60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</row>
    <row r="524" ht="14.25" customHeight="1">
      <c r="A524" s="60"/>
      <c r="B524" s="60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</row>
    <row r="525" ht="14.25" customHeight="1">
      <c r="A525" s="60"/>
      <c r="B525" s="60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</row>
    <row r="526" ht="14.25" customHeight="1">
      <c r="A526" s="60"/>
      <c r="B526" s="60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</row>
    <row r="527" ht="14.25" customHeight="1">
      <c r="A527" s="60"/>
      <c r="B527" s="60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</row>
    <row r="528" ht="14.25" customHeight="1">
      <c r="A528" s="60"/>
      <c r="B528" s="60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</row>
    <row r="529" ht="14.25" customHeight="1">
      <c r="A529" s="60"/>
      <c r="B529" s="60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</row>
    <row r="530" ht="14.25" customHeight="1">
      <c r="A530" s="60"/>
      <c r="B530" s="60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</row>
    <row r="531" ht="14.25" customHeight="1">
      <c r="A531" s="60"/>
      <c r="B531" s="60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</row>
    <row r="532" ht="14.25" customHeight="1">
      <c r="A532" s="60"/>
      <c r="B532" s="60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</row>
    <row r="533" ht="14.25" customHeight="1">
      <c r="A533" s="60"/>
      <c r="B533" s="60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</row>
    <row r="534" ht="14.25" customHeight="1">
      <c r="A534" s="60"/>
      <c r="B534" s="60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</row>
    <row r="535" ht="14.25" customHeight="1">
      <c r="A535" s="60"/>
      <c r="B535" s="60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</row>
    <row r="536" ht="14.25" customHeight="1">
      <c r="A536" s="60"/>
      <c r="B536" s="60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</row>
    <row r="537" ht="14.25" customHeight="1">
      <c r="A537" s="60"/>
      <c r="B537" s="60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</row>
    <row r="538" ht="14.25" customHeight="1">
      <c r="A538" s="60"/>
      <c r="B538" s="60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</row>
    <row r="539" ht="14.25" customHeight="1">
      <c r="A539" s="60"/>
      <c r="B539" s="60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</row>
    <row r="540" ht="14.25" customHeight="1">
      <c r="A540" s="60"/>
      <c r="B540" s="60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</row>
    <row r="541" ht="14.25" customHeight="1">
      <c r="A541" s="60"/>
      <c r="B541" s="60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</row>
    <row r="542" ht="14.25" customHeight="1">
      <c r="A542" s="60"/>
      <c r="B542" s="60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</row>
    <row r="543" ht="14.25" customHeight="1">
      <c r="A543" s="60"/>
      <c r="B543" s="60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</row>
    <row r="544" ht="14.25" customHeight="1">
      <c r="A544" s="60"/>
      <c r="B544" s="60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</row>
    <row r="545" ht="14.25" customHeight="1">
      <c r="A545" s="60"/>
      <c r="B545" s="60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</row>
    <row r="546" ht="14.25" customHeight="1">
      <c r="A546" s="60"/>
      <c r="B546" s="60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</row>
    <row r="547" ht="14.25" customHeight="1">
      <c r="A547" s="60"/>
      <c r="B547" s="60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</row>
    <row r="548" ht="14.25" customHeight="1">
      <c r="A548" s="60"/>
      <c r="B548" s="60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</row>
    <row r="549" ht="14.25" customHeight="1">
      <c r="A549" s="60"/>
      <c r="B549" s="60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</row>
    <row r="550" ht="14.25" customHeight="1">
      <c r="A550" s="60"/>
      <c r="B550" s="60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</row>
    <row r="551" ht="14.25" customHeight="1">
      <c r="A551" s="60"/>
      <c r="B551" s="60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</row>
    <row r="552" ht="14.25" customHeight="1">
      <c r="A552" s="60"/>
      <c r="B552" s="60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</row>
    <row r="553" ht="14.25" customHeight="1">
      <c r="A553" s="60"/>
      <c r="B553" s="60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</row>
    <row r="554" ht="14.25" customHeight="1">
      <c r="A554" s="60"/>
      <c r="B554" s="60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</row>
    <row r="555" ht="14.25" customHeight="1">
      <c r="A555" s="60"/>
      <c r="B555" s="60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</row>
    <row r="556" ht="14.25" customHeight="1">
      <c r="A556" s="60"/>
      <c r="B556" s="60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</row>
    <row r="557" ht="14.25" customHeight="1">
      <c r="A557" s="60"/>
      <c r="B557" s="60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</row>
    <row r="558" ht="14.25" customHeight="1">
      <c r="A558" s="60"/>
      <c r="B558" s="60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</row>
    <row r="559" ht="14.25" customHeight="1">
      <c r="A559" s="60"/>
      <c r="B559" s="60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</row>
    <row r="560" ht="14.25" customHeight="1">
      <c r="A560" s="60"/>
      <c r="B560" s="60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</row>
    <row r="561" ht="14.25" customHeight="1">
      <c r="A561" s="60"/>
      <c r="B561" s="60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</row>
    <row r="562" ht="14.25" customHeight="1">
      <c r="A562" s="60"/>
      <c r="B562" s="60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</row>
    <row r="563" ht="14.25" customHeight="1">
      <c r="A563" s="60"/>
      <c r="B563" s="60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</row>
    <row r="564" ht="14.25" customHeight="1">
      <c r="A564" s="60"/>
      <c r="B564" s="60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</row>
    <row r="565" ht="14.25" customHeight="1">
      <c r="A565" s="60"/>
      <c r="B565" s="60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</row>
    <row r="566" ht="14.25" customHeight="1">
      <c r="A566" s="60"/>
      <c r="B566" s="60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</row>
    <row r="567" ht="14.25" customHeight="1">
      <c r="A567" s="60"/>
      <c r="B567" s="60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</row>
    <row r="568" ht="14.25" customHeight="1">
      <c r="A568" s="60"/>
      <c r="B568" s="60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</row>
    <row r="569" ht="14.25" customHeight="1">
      <c r="A569" s="60"/>
      <c r="B569" s="60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</row>
    <row r="570" ht="14.25" customHeight="1">
      <c r="A570" s="60"/>
      <c r="B570" s="60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</row>
    <row r="571" ht="14.25" customHeight="1">
      <c r="A571" s="60"/>
      <c r="B571" s="60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</row>
    <row r="572" ht="14.25" customHeight="1">
      <c r="A572" s="60"/>
      <c r="B572" s="60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</row>
    <row r="573" ht="14.25" customHeight="1">
      <c r="A573" s="60"/>
      <c r="B573" s="60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</row>
    <row r="574" ht="14.25" customHeight="1">
      <c r="A574" s="60"/>
      <c r="B574" s="60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</row>
    <row r="575" ht="14.25" customHeight="1">
      <c r="A575" s="60"/>
      <c r="B575" s="60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</row>
    <row r="576" ht="14.25" customHeight="1">
      <c r="A576" s="60"/>
      <c r="B576" s="60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</row>
    <row r="577" ht="14.25" customHeight="1">
      <c r="A577" s="60"/>
      <c r="B577" s="60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</row>
    <row r="578" ht="14.25" customHeight="1">
      <c r="A578" s="60"/>
      <c r="B578" s="60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</row>
    <row r="579" ht="14.25" customHeight="1">
      <c r="A579" s="60"/>
      <c r="B579" s="60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</row>
    <row r="580" ht="14.25" customHeight="1">
      <c r="A580" s="60"/>
      <c r="B580" s="60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</row>
    <row r="581" ht="14.25" customHeight="1">
      <c r="A581" s="60"/>
      <c r="B581" s="60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</row>
    <row r="582" ht="14.25" customHeight="1">
      <c r="A582" s="60"/>
      <c r="B582" s="60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</row>
    <row r="583" ht="14.25" customHeight="1">
      <c r="A583" s="60"/>
      <c r="B583" s="60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</row>
    <row r="584" ht="14.25" customHeight="1">
      <c r="A584" s="60"/>
      <c r="B584" s="60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</row>
    <row r="585" ht="14.25" customHeight="1">
      <c r="A585" s="60"/>
      <c r="B585" s="60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</row>
    <row r="586" ht="14.25" customHeight="1">
      <c r="A586" s="60"/>
      <c r="B586" s="60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</row>
    <row r="587" ht="14.25" customHeight="1">
      <c r="A587" s="60"/>
      <c r="B587" s="60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</row>
    <row r="588" ht="14.25" customHeight="1">
      <c r="A588" s="60"/>
      <c r="B588" s="60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</row>
    <row r="589" ht="14.25" customHeight="1">
      <c r="A589" s="60"/>
      <c r="B589" s="60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</row>
    <row r="590" ht="14.25" customHeight="1">
      <c r="A590" s="60"/>
      <c r="B590" s="60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</row>
    <row r="591" ht="14.25" customHeight="1">
      <c r="A591" s="60"/>
      <c r="B591" s="60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</row>
    <row r="592" ht="14.25" customHeight="1">
      <c r="A592" s="60"/>
      <c r="B592" s="60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</row>
    <row r="593" ht="14.25" customHeight="1">
      <c r="A593" s="60"/>
      <c r="B593" s="60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</row>
    <row r="594" ht="14.25" customHeight="1">
      <c r="A594" s="60"/>
      <c r="B594" s="60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</row>
    <row r="595" ht="14.25" customHeight="1">
      <c r="A595" s="60"/>
      <c r="B595" s="60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</row>
    <row r="596" ht="14.25" customHeight="1">
      <c r="A596" s="60"/>
      <c r="B596" s="60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</row>
    <row r="597" ht="14.25" customHeight="1">
      <c r="A597" s="60"/>
      <c r="B597" s="60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</row>
    <row r="598" ht="14.25" customHeight="1">
      <c r="A598" s="60"/>
      <c r="B598" s="60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</row>
    <row r="599" ht="14.25" customHeight="1">
      <c r="A599" s="60"/>
      <c r="B599" s="60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</row>
    <row r="600" ht="14.25" customHeight="1">
      <c r="A600" s="60"/>
      <c r="B600" s="60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</row>
    <row r="601" ht="14.25" customHeight="1">
      <c r="A601" s="60"/>
      <c r="B601" s="60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</row>
    <row r="602" ht="14.25" customHeight="1">
      <c r="A602" s="60"/>
      <c r="B602" s="60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</row>
    <row r="603" ht="14.25" customHeight="1">
      <c r="A603" s="60"/>
      <c r="B603" s="60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</row>
    <row r="604" ht="14.25" customHeight="1">
      <c r="A604" s="60"/>
      <c r="B604" s="60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</row>
    <row r="605" ht="14.25" customHeight="1">
      <c r="A605" s="60"/>
      <c r="B605" s="60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</row>
    <row r="606" ht="14.25" customHeight="1">
      <c r="A606" s="60"/>
      <c r="B606" s="60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</row>
    <row r="607" ht="14.25" customHeight="1">
      <c r="A607" s="60"/>
      <c r="B607" s="60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</row>
    <row r="608" ht="14.25" customHeight="1">
      <c r="A608" s="60"/>
      <c r="B608" s="60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</row>
    <row r="609" ht="14.25" customHeight="1">
      <c r="A609" s="60"/>
      <c r="B609" s="60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</row>
    <row r="610" ht="14.25" customHeight="1">
      <c r="A610" s="60"/>
      <c r="B610" s="60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</row>
    <row r="611" ht="14.25" customHeight="1">
      <c r="A611" s="60"/>
      <c r="B611" s="60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</row>
    <row r="612" ht="14.25" customHeight="1">
      <c r="A612" s="60"/>
      <c r="B612" s="60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</row>
    <row r="613" ht="14.25" customHeight="1">
      <c r="A613" s="60"/>
      <c r="B613" s="60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</row>
    <row r="614" ht="14.25" customHeight="1">
      <c r="A614" s="60"/>
      <c r="B614" s="60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</row>
    <row r="615" ht="14.25" customHeight="1">
      <c r="A615" s="60"/>
      <c r="B615" s="60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</row>
    <row r="616" ht="14.25" customHeight="1">
      <c r="A616" s="60"/>
      <c r="B616" s="60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</row>
    <row r="617" ht="14.25" customHeight="1">
      <c r="A617" s="60"/>
      <c r="B617" s="60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</row>
    <row r="618" ht="14.25" customHeight="1">
      <c r="A618" s="60"/>
      <c r="B618" s="60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</row>
    <row r="619" ht="14.25" customHeight="1">
      <c r="A619" s="60"/>
      <c r="B619" s="60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</row>
    <row r="620" ht="14.25" customHeight="1">
      <c r="A620" s="60"/>
      <c r="B620" s="60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</row>
    <row r="621" ht="14.25" customHeight="1">
      <c r="A621" s="60"/>
      <c r="B621" s="60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</row>
    <row r="622" ht="14.25" customHeight="1">
      <c r="A622" s="60"/>
      <c r="B622" s="60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</row>
    <row r="623" ht="14.25" customHeight="1">
      <c r="A623" s="60"/>
      <c r="B623" s="60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</row>
    <row r="624" ht="14.25" customHeight="1">
      <c r="A624" s="60"/>
      <c r="B624" s="60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</row>
    <row r="625" ht="14.25" customHeight="1">
      <c r="A625" s="60"/>
      <c r="B625" s="60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</row>
    <row r="626" ht="14.25" customHeight="1">
      <c r="A626" s="60"/>
      <c r="B626" s="60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</row>
    <row r="627" ht="14.25" customHeight="1">
      <c r="A627" s="60"/>
      <c r="B627" s="60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</row>
    <row r="628" ht="14.25" customHeight="1">
      <c r="A628" s="60"/>
      <c r="B628" s="60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</row>
    <row r="629" ht="14.25" customHeight="1">
      <c r="A629" s="60"/>
      <c r="B629" s="60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</row>
    <row r="630" ht="14.25" customHeight="1">
      <c r="A630" s="60"/>
      <c r="B630" s="60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</row>
    <row r="631" ht="14.25" customHeight="1">
      <c r="A631" s="60"/>
      <c r="B631" s="60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</row>
    <row r="632" ht="14.25" customHeight="1">
      <c r="A632" s="60"/>
      <c r="B632" s="60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</row>
    <row r="633" ht="14.25" customHeight="1">
      <c r="A633" s="60"/>
      <c r="B633" s="60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</row>
    <row r="634" ht="14.25" customHeight="1">
      <c r="A634" s="60"/>
      <c r="B634" s="60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</row>
    <row r="635" ht="14.25" customHeight="1">
      <c r="A635" s="60"/>
      <c r="B635" s="60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</row>
    <row r="636" ht="14.25" customHeight="1">
      <c r="A636" s="60"/>
      <c r="B636" s="60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</row>
    <row r="637" ht="14.25" customHeight="1">
      <c r="A637" s="60"/>
      <c r="B637" s="60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</row>
    <row r="638" ht="14.25" customHeight="1">
      <c r="A638" s="60"/>
      <c r="B638" s="60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</row>
    <row r="639" ht="14.25" customHeight="1">
      <c r="A639" s="60"/>
      <c r="B639" s="60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</row>
    <row r="640" ht="14.25" customHeight="1">
      <c r="A640" s="60"/>
      <c r="B640" s="60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</row>
    <row r="641" ht="14.25" customHeight="1">
      <c r="A641" s="60"/>
      <c r="B641" s="60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</row>
    <row r="642" ht="14.25" customHeight="1">
      <c r="A642" s="60"/>
      <c r="B642" s="60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</row>
    <row r="643" ht="14.25" customHeight="1">
      <c r="A643" s="60"/>
      <c r="B643" s="60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</row>
    <row r="644" ht="14.25" customHeight="1">
      <c r="A644" s="60"/>
      <c r="B644" s="60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</row>
    <row r="645" ht="14.25" customHeight="1">
      <c r="A645" s="60"/>
      <c r="B645" s="60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</row>
    <row r="646" ht="14.25" customHeight="1">
      <c r="A646" s="60"/>
      <c r="B646" s="60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</row>
    <row r="647" ht="14.25" customHeight="1">
      <c r="A647" s="60"/>
      <c r="B647" s="60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</row>
    <row r="648" ht="14.25" customHeight="1">
      <c r="A648" s="60"/>
      <c r="B648" s="60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</row>
    <row r="649" ht="14.25" customHeight="1">
      <c r="A649" s="60"/>
      <c r="B649" s="60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</row>
    <row r="650" ht="14.25" customHeight="1">
      <c r="A650" s="60"/>
      <c r="B650" s="60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</row>
    <row r="651" ht="14.25" customHeight="1">
      <c r="A651" s="60"/>
      <c r="B651" s="60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</row>
    <row r="652" ht="14.25" customHeight="1">
      <c r="A652" s="60"/>
      <c r="B652" s="60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</row>
    <row r="653" ht="14.25" customHeight="1">
      <c r="A653" s="60"/>
      <c r="B653" s="60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</row>
    <row r="654" ht="14.25" customHeight="1">
      <c r="A654" s="60"/>
      <c r="B654" s="60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</row>
    <row r="655" ht="14.25" customHeight="1">
      <c r="A655" s="60"/>
      <c r="B655" s="60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</row>
    <row r="656" ht="14.25" customHeight="1">
      <c r="A656" s="60"/>
      <c r="B656" s="60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</row>
    <row r="657" ht="14.25" customHeight="1">
      <c r="A657" s="60"/>
      <c r="B657" s="60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</row>
    <row r="658" ht="14.25" customHeight="1">
      <c r="A658" s="60"/>
      <c r="B658" s="60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</row>
    <row r="659" ht="14.25" customHeight="1">
      <c r="A659" s="60"/>
      <c r="B659" s="60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</row>
    <row r="660" ht="14.25" customHeight="1">
      <c r="A660" s="60"/>
      <c r="B660" s="60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</row>
    <row r="661" ht="14.25" customHeight="1">
      <c r="A661" s="60"/>
      <c r="B661" s="60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</row>
    <row r="662" ht="14.25" customHeight="1">
      <c r="A662" s="60"/>
      <c r="B662" s="60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</row>
    <row r="663" ht="14.25" customHeight="1">
      <c r="A663" s="60"/>
      <c r="B663" s="60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</row>
    <row r="664" ht="14.25" customHeight="1">
      <c r="A664" s="60"/>
      <c r="B664" s="60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</row>
    <row r="665" ht="14.25" customHeight="1">
      <c r="A665" s="60"/>
      <c r="B665" s="60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</row>
    <row r="666" ht="14.25" customHeight="1">
      <c r="A666" s="60"/>
      <c r="B666" s="60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</row>
    <row r="667" ht="14.25" customHeight="1">
      <c r="A667" s="60"/>
      <c r="B667" s="60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</row>
    <row r="668" ht="14.25" customHeight="1">
      <c r="A668" s="60"/>
      <c r="B668" s="60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</row>
    <row r="669" ht="14.25" customHeight="1">
      <c r="A669" s="60"/>
      <c r="B669" s="60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</row>
    <row r="670" ht="14.25" customHeight="1">
      <c r="A670" s="60"/>
      <c r="B670" s="60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</row>
    <row r="671" ht="14.25" customHeight="1">
      <c r="A671" s="60"/>
      <c r="B671" s="60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</row>
    <row r="672" ht="14.25" customHeight="1">
      <c r="A672" s="60"/>
      <c r="B672" s="60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</row>
    <row r="673" ht="14.25" customHeight="1">
      <c r="A673" s="60"/>
      <c r="B673" s="60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</row>
    <row r="674" ht="14.25" customHeight="1">
      <c r="A674" s="60"/>
      <c r="B674" s="60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</row>
    <row r="675" ht="14.25" customHeight="1">
      <c r="A675" s="60"/>
      <c r="B675" s="60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</row>
    <row r="676" ht="14.25" customHeight="1">
      <c r="A676" s="60"/>
      <c r="B676" s="60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</row>
    <row r="677" ht="14.25" customHeight="1">
      <c r="A677" s="60"/>
      <c r="B677" s="60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</row>
    <row r="678" ht="14.25" customHeight="1">
      <c r="A678" s="60"/>
      <c r="B678" s="60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</row>
    <row r="679" ht="14.25" customHeight="1">
      <c r="A679" s="60"/>
      <c r="B679" s="60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</row>
    <row r="680" ht="14.25" customHeight="1">
      <c r="A680" s="60"/>
      <c r="B680" s="60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</row>
    <row r="681" ht="14.25" customHeight="1">
      <c r="A681" s="60"/>
      <c r="B681" s="60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</row>
    <row r="682" ht="14.25" customHeight="1">
      <c r="A682" s="60"/>
      <c r="B682" s="60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</row>
    <row r="683" ht="14.25" customHeight="1">
      <c r="A683" s="60"/>
      <c r="B683" s="60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</row>
    <row r="684" ht="14.25" customHeight="1">
      <c r="A684" s="60"/>
      <c r="B684" s="60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</row>
    <row r="685" ht="14.25" customHeight="1">
      <c r="A685" s="60"/>
      <c r="B685" s="60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</row>
    <row r="686" ht="14.25" customHeight="1">
      <c r="A686" s="60"/>
      <c r="B686" s="60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</row>
    <row r="687" ht="14.25" customHeight="1">
      <c r="A687" s="60"/>
      <c r="B687" s="60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</row>
    <row r="688" ht="14.25" customHeight="1">
      <c r="A688" s="60"/>
      <c r="B688" s="60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</row>
    <row r="689" ht="14.25" customHeight="1">
      <c r="A689" s="60"/>
      <c r="B689" s="60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</row>
    <row r="690" ht="14.25" customHeight="1">
      <c r="A690" s="60"/>
      <c r="B690" s="60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</row>
    <row r="691" ht="14.25" customHeight="1">
      <c r="A691" s="60"/>
      <c r="B691" s="60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</row>
    <row r="692" ht="14.25" customHeight="1">
      <c r="A692" s="60"/>
      <c r="B692" s="60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</row>
    <row r="693" ht="14.25" customHeight="1">
      <c r="A693" s="60"/>
      <c r="B693" s="60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</row>
    <row r="694" ht="14.25" customHeight="1">
      <c r="A694" s="60"/>
      <c r="B694" s="60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</row>
    <row r="695" ht="14.25" customHeight="1">
      <c r="A695" s="60"/>
      <c r="B695" s="60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</row>
    <row r="696" ht="14.25" customHeight="1">
      <c r="A696" s="60"/>
      <c r="B696" s="60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</row>
    <row r="697" ht="14.25" customHeight="1">
      <c r="A697" s="60"/>
      <c r="B697" s="60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</row>
    <row r="698" ht="14.25" customHeight="1">
      <c r="A698" s="60"/>
      <c r="B698" s="60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</row>
    <row r="699" ht="14.25" customHeight="1">
      <c r="A699" s="60"/>
      <c r="B699" s="60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</row>
    <row r="700" ht="14.25" customHeight="1">
      <c r="A700" s="60"/>
      <c r="B700" s="60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</row>
    <row r="701" ht="14.25" customHeight="1">
      <c r="A701" s="60"/>
      <c r="B701" s="60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</row>
    <row r="702" ht="14.25" customHeight="1">
      <c r="A702" s="60"/>
      <c r="B702" s="60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</row>
    <row r="703" ht="14.25" customHeight="1">
      <c r="A703" s="60"/>
      <c r="B703" s="60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</row>
    <row r="704" ht="14.25" customHeight="1">
      <c r="A704" s="60"/>
      <c r="B704" s="60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</row>
    <row r="705" ht="14.25" customHeight="1">
      <c r="A705" s="60"/>
      <c r="B705" s="60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</row>
    <row r="706" ht="14.25" customHeight="1">
      <c r="A706" s="60"/>
      <c r="B706" s="60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</row>
    <row r="707" ht="14.25" customHeight="1">
      <c r="A707" s="60"/>
      <c r="B707" s="60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</row>
    <row r="708" ht="14.25" customHeight="1">
      <c r="A708" s="60"/>
      <c r="B708" s="60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</row>
    <row r="709" ht="14.25" customHeight="1">
      <c r="A709" s="60"/>
      <c r="B709" s="60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</row>
    <row r="710" ht="14.25" customHeight="1">
      <c r="A710" s="60"/>
      <c r="B710" s="60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</row>
    <row r="711" ht="14.25" customHeight="1">
      <c r="A711" s="60"/>
      <c r="B711" s="60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</row>
    <row r="712" ht="14.25" customHeight="1">
      <c r="A712" s="60"/>
      <c r="B712" s="60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</row>
    <row r="713" ht="14.25" customHeight="1">
      <c r="A713" s="60"/>
      <c r="B713" s="60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</row>
    <row r="714" ht="14.25" customHeight="1">
      <c r="A714" s="60"/>
      <c r="B714" s="60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</row>
    <row r="715" ht="14.25" customHeight="1">
      <c r="A715" s="60"/>
      <c r="B715" s="60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</row>
    <row r="716" ht="14.25" customHeight="1">
      <c r="A716" s="60"/>
      <c r="B716" s="60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</row>
    <row r="717" ht="14.25" customHeight="1">
      <c r="A717" s="60"/>
      <c r="B717" s="60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</row>
    <row r="718" ht="14.25" customHeight="1">
      <c r="A718" s="60"/>
      <c r="B718" s="60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</row>
    <row r="719" ht="14.25" customHeight="1">
      <c r="A719" s="60"/>
      <c r="B719" s="60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</row>
    <row r="720" ht="14.25" customHeight="1">
      <c r="A720" s="60"/>
      <c r="B720" s="60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</row>
    <row r="721" ht="14.25" customHeight="1">
      <c r="A721" s="60"/>
      <c r="B721" s="60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</row>
    <row r="722" ht="14.25" customHeight="1">
      <c r="A722" s="60"/>
      <c r="B722" s="60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</row>
    <row r="723" ht="14.25" customHeight="1">
      <c r="A723" s="60"/>
      <c r="B723" s="60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</row>
    <row r="724" ht="14.25" customHeight="1">
      <c r="A724" s="60"/>
      <c r="B724" s="60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</row>
    <row r="725" ht="14.25" customHeight="1">
      <c r="A725" s="60"/>
      <c r="B725" s="60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</row>
    <row r="726" ht="14.25" customHeight="1">
      <c r="A726" s="60"/>
      <c r="B726" s="60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</row>
    <row r="727" ht="14.25" customHeight="1">
      <c r="A727" s="60"/>
      <c r="B727" s="60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</row>
    <row r="728" ht="14.25" customHeight="1">
      <c r="A728" s="60"/>
      <c r="B728" s="60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</row>
    <row r="729" ht="14.25" customHeight="1">
      <c r="A729" s="60"/>
      <c r="B729" s="60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</row>
    <row r="730" ht="14.25" customHeight="1">
      <c r="A730" s="60"/>
      <c r="B730" s="60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</row>
    <row r="731" ht="14.25" customHeight="1">
      <c r="A731" s="60"/>
      <c r="B731" s="60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</row>
    <row r="732" ht="14.25" customHeight="1">
      <c r="A732" s="60"/>
      <c r="B732" s="60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</row>
    <row r="733" ht="14.25" customHeight="1">
      <c r="A733" s="60"/>
      <c r="B733" s="60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</row>
    <row r="734" ht="14.25" customHeight="1">
      <c r="A734" s="60"/>
      <c r="B734" s="60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</row>
    <row r="735" ht="14.25" customHeight="1">
      <c r="A735" s="60"/>
      <c r="B735" s="60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</row>
    <row r="736" ht="14.25" customHeight="1">
      <c r="A736" s="60"/>
      <c r="B736" s="60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</row>
    <row r="737" ht="14.25" customHeight="1">
      <c r="A737" s="60"/>
      <c r="B737" s="60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</row>
    <row r="738" ht="14.25" customHeight="1">
      <c r="A738" s="60"/>
      <c r="B738" s="60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</row>
    <row r="739" ht="14.25" customHeight="1">
      <c r="A739" s="60"/>
      <c r="B739" s="60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</row>
    <row r="740" ht="14.25" customHeight="1">
      <c r="A740" s="60"/>
      <c r="B740" s="60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</row>
    <row r="741" ht="14.25" customHeight="1">
      <c r="A741" s="60"/>
      <c r="B741" s="60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</row>
    <row r="742" ht="14.25" customHeight="1">
      <c r="A742" s="60"/>
      <c r="B742" s="60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</row>
    <row r="743" ht="14.25" customHeight="1">
      <c r="A743" s="60"/>
      <c r="B743" s="60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</row>
    <row r="744" ht="14.25" customHeight="1">
      <c r="A744" s="60"/>
      <c r="B744" s="60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</row>
    <row r="745" ht="14.25" customHeight="1">
      <c r="A745" s="60"/>
      <c r="B745" s="60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</row>
    <row r="746" ht="14.25" customHeight="1">
      <c r="A746" s="60"/>
      <c r="B746" s="60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</row>
    <row r="747" ht="14.25" customHeight="1">
      <c r="A747" s="60"/>
      <c r="B747" s="60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</row>
    <row r="748" ht="14.25" customHeight="1">
      <c r="A748" s="60"/>
      <c r="B748" s="60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</row>
    <row r="749" ht="14.25" customHeight="1">
      <c r="A749" s="60"/>
      <c r="B749" s="60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</row>
    <row r="750" ht="14.25" customHeight="1">
      <c r="A750" s="60"/>
      <c r="B750" s="60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</row>
    <row r="751" ht="14.25" customHeight="1">
      <c r="A751" s="60"/>
      <c r="B751" s="60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</row>
    <row r="752" ht="14.25" customHeight="1">
      <c r="A752" s="60"/>
      <c r="B752" s="60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</row>
    <row r="753" ht="14.25" customHeight="1">
      <c r="A753" s="60"/>
      <c r="B753" s="60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</row>
    <row r="754" ht="14.25" customHeight="1">
      <c r="A754" s="60"/>
      <c r="B754" s="60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</row>
    <row r="755" ht="14.25" customHeight="1">
      <c r="A755" s="60"/>
      <c r="B755" s="60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</row>
    <row r="756" ht="14.25" customHeight="1">
      <c r="A756" s="60"/>
      <c r="B756" s="60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</row>
    <row r="757" ht="14.25" customHeight="1">
      <c r="A757" s="60"/>
      <c r="B757" s="60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</row>
    <row r="758" ht="14.25" customHeight="1">
      <c r="A758" s="60"/>
      <c r="B758" s="60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</row>
    <row r="759" ht="14.25" customHeight="1">
      <c r="A759" s="60"/>
      <c r="B759" s="60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</row>
    <row r="760" ht="14.25" customHeight="1">
      <c r="A760" s="60"/>
      <c r="B760" s="60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</row>
    <row r="761" ht="14.25" customHeight="1">
      <c r="A761" s="60"/>
      <c r="B761" s="60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</row>
    <row r="762" ht="14.25" customHeight="1">
      <c r="A762" s="60"/>
      <c r="B762" s="60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</row>
    <row r="763" ht="14.25" customHeight="1">
      <c r="A763" s="60"/>
      <c r="B763" s="60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</row>
    <row r="764" ht="14.25" customHeight="1">
      <c r="A764" s="60"/>
      <c r="B764" s="60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</row>
    <row r="765" ht="14.25" customHeight="1">
      <c r="A765" s="60"/>
      <c r="B765" s="60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</row>
    <row r="766" ht="14.25" customHeight="1">
      <c r="A766" s="60"/>
      <c r="B766" s="60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</row>
    <row r="767" ht="14.25" customHeight="1">
      <c r="A767" s="60"/>
      <c r="B767" s="60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</row>
    <row r="768" ht="14.25" customHeight="1">
      <c r="A768" s="60"/>
      <c r="B768" s="60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</row>
    <row r="769" ht="14.25" customHeight="1">
      <c r="A769" s="60"/>
      <c r="B769" s="60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</row>
    <row r="770" ht="14.25" customHeight="1">
      <c r="A770" s="60"/>
      <c r="B770" s="60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</row>
    <row r="771" ht="14.25" customHeight="1">
      <c r="A771" s="60"/>
      <c r="B771" s="60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</row>
    <row r="772" ht="14.25" customHeight="1">
      <c r="A772" s="60"/>
      <c r="B772" s="60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</row>
    <row r="773" ht="14.25" customHeight="1">
      <c r="A773" s="60"/>
      <c r="B773" s="60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</row>
    <row r="774" ht="14.25" customHeight="1">
      <c r="A774" s="60"/>
      <c r="B774" s="60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</row>
    <row r="775" ht="14.25" customHeight="1">
      <c r="A775" s="60"/>
      <c r="B775" s="60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</row>
    <row r="776" ht="14.25" customHeight="1">
      <c r="A776" s="60"/>
      <c r="B776" s="60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</row>
    <row r="777" ht="14.25" customHeight="1">
      <c r="A777" s="60"/>
      <c r="B777" s="60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</row>
    <row r="778" ht="14.25" customHeight="1">
      <c r="A778" s="60"/>
      <c r="B778" s="60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</row>
    <row r="779" ht="14.25" customHeight="1">
      <c r="A779" s="60"/>
      <c r="B779" s="60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</row>
    <row r="780" ht="14.25" customHeight="1">
      <c r="A780" s="60"/>
      <c r="B780" s="60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</row>
    <row r="781" ht="14.25" customHeight="1">
      <c r="A781" s="60"/>
      <c r="B781" s="60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</row>
    <row r="782" ht="14.25" customHeight="1">
      <c r="A782" s="60"/>
      <c r="B782" s="60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</row>
    <row r="783" ht="14.25" customHeight="1">
      <c r="A783" s="60"/>
      <c r="B783" s="60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</row>
    <row r="784" ht="14.25" customHeight="1">
      <c r="A784" s="60"/>
      <c r="B784" s="60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</row>
    <row r="785" ht="14.25" customHeight="1">
      <c r="A785" s="60"/>
      <c r="B785" s="60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</row>
    <row r="786" ht="14.25" customHeight="1">
      <c r="A786" s="60"/>
      <c r="B786" s="60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</row>
    <row r="787" ht="14.25" customHeight="1">
      <c r="A787" s="60"/>
      <c r="B787" s="60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</row>
    <row r="788" ht="14.25" customHeight="1">
      <c r="A788" s="60"/>
      <c r="B788" s="60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</row>
    <row r="789" ht="14.25" customHeight="1">
      <c r="A789" s="60"/>
      <c r="B789" s="60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</row>
    <row r="790" ht="14.25" customHeight="1">
      <c r="A790" s="60"/>
      <c r="B790" s="60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</row>
    <row r="791" ht="14.25" customHeight="1">
      <c r="A791" s="60"/>
      <c r="B791" s="60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</row>
    <row r="792" ht="14.25" customHeight="1">
      <c r="A792" s="60"/>
      <c r="B792" s="60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</row>
    <row r="793" ht="14.25" customHeight="1">
      <c r="A793" s="60"/>
      <c r="B793" s="60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</row>
    <row r="794" ht="14.25" customHeight="1">
      <c r="A794" s="60"/>
      <c r="B794" s="60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</row>
    <row r="795" ht="14.25" customHeight="1">
      <c r="A795" s="60"/>
      <c r="B795" s="60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</row>
    <row r="796" ht="14.25" customHeight="1">
      <c r="A796" s="60"/>
      <c r="B796" s="60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</row>
    <row r="797" ht="14.25" customHeight="1">
      <c r="A797" s="60"/>
      <c r="B797" s="60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</row>
    <row r="798" ht="14.25" customHeight="1">
      <c r="A798" s="60"/>
      <c r="B798" s="60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</row>
    <row r="799" ht="14.25" customHeight="1">
      <c r="A799" s="60"/>
      <c r="B799" s="60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</row>
    <row r="800" ht="14.25" customHeight="1">
      <c r="A800" s="60"/>
      <c r="B800" s="60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</row>
    <row r="801" ht="14.25" customHeight="1">
      <c r="A801" s="60"/>
      <c r="B801" s="60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</row>
    <row r="802" ht="14.25" customHeight="1">
      <c r="A802" s="60"/>
      <c r="B802" s="60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</row>
    <row r="803" ht="14.25" customHeight="1">
      <c r="A803" s="60"/>
      <c r="B803" s="60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</row>
    <row r="804" ht="14.25" customHeight="1">
      <c r="A804" s="60"/>
      <c r="B804" s="60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</row>
    <row r="805" ht="14.25" customHeight="1">
      <c r="A805" s="60"/>
      <c r="B805" s="60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</row>
    <row r="806" ht="14.25" customHeight="1">
      <c r="A806" s="60"/>
      <c r="B806" s="60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</row>
    <row r="807" ht="14.25" customHeight="1">
      <c r="A807" s="60"/>
      <c r="B807" s="60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</row>
    <row r="808" ht="14.25" customHeight="1">
      <c r="A808" s="60"/>
      <c r="B808" s="60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</row>
    <row r="809" ht="14.25" customHeight="1">
      <c r="A809" s="60"/>
      <c r="B809" s="60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</row>
    <row r="810" ht="14.25" customHeight="1">
      <c r="A810" s="60"/>
      <c r="B810" s="60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</row>
    <row r="811" ht="14.25" customHeight="1">
      <c r="A811" s="60"/>
      <c r="B811" s="60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</row>
    <row r="812" ht="14.25" customHeight="1">
      <c r="A812" s="60"/>
      <c r="B812" s="60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</row>
    <row r="813" ht="14.25" customHeight="1">
      <c r="A813" s="60"/>
      <c r="B813" s="60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</row>
    <row r="814" ht="14.25" customHeight="1">
      <c r="A814" s="60"/>
      <c r="B814" s="60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</row>
    <row r="815" ht="14.25" customHeight="1">
      <c r="A815" s="60"/>
      <c r="B815" s="60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</row>
    <row r="816" ht="14.25" customHeight="1">
      <c r="A816" s="60"/>
      <c r="B816" s="60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</row>
    <row r="817" ht="14.25" customHeight="1">
      <c r="A817" s="60"/>
      <c r="B817" s="60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</row>
    <row r="818" ht="14.25" customHeight="1">
      <c r="A818" s="60"/>
      <c r="B818" s="60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</row>
    <row r="819" ht="14.25" customHeight="1">
      <c r="A819" s="60"/>
      <c r="B819" s="60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</row>
    <row r="820" ht="14.25" customHeight="1">
      <c r="A820" s="60"/>
      <c r="B820" s="60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</row>
    <row r="821" ht="14.25" customHeight="1">
      <c r="A821" s="60"/>
      <c r="B821" s="60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</row>
    <row r="822" ht="14.25" customHeight="1">
      <c r="A822" s="60"/>
      <c r="B822" s="60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</row>
    <row r="823" ht="14.25" customHeight="1">
      <c r="A823" s="60"/>
      <c r="B823" s="60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</row>
    <row r="824" ht="14.25" customHeight="1">
      <c r="A824" s="60"/>
      <c r="B824" s="60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</row>
    <row r="825" ht="14.25" customHeight="1">
      <c r="A825" s="60"/>
      <c r="B825" s="60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</row>
    <row r="826" ht="14.25" customHeight="1">
      <c r="A826" s="60"/>
      <c r="B826" s="60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</row>
    <row r="827" ht="14.25" customHeight="1">
      <c r="A827" s="60"/>
      <c r="B827" s="60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</row>
    <row r="828" ht="14.25" customHeight="1">
      <c r="A828" s="60"/>
      <c r="B828" s="60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</row>
    <row r="829" ht="14.25" customHeight="1">
      <c r="A829" s="60"/>
      <c r="B829" s="60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</row>
    <row r="830" ht="14.25" customHeight="1">
      <c r="A830" s="60"/>
      <c r="B830" s="60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</row>
    <row r="831" ht="14.25" customHeight="1">
      <c r="A831" s="60"/>
      <c r="B831" s="60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</row>
    <row r="832" ht="14.25" customHeight="1">
      <c r="A832" s="60"/>
      <c r="B832" s="60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</row>
    <row r="833" ht="14.25" customHeight="1">
      <c r="A833" s="60"/>
      <c r="B833" s="60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</row>
  </sheetData>
  <mergeCells count="13">
    <mergeCell ref="D21:E21"/>
    <mergeCell ref="F21:G21"/>
    <mergeCell ref="H21:I21"/>
    <mergeCell ref="J21:K21"/>
    <mergeCell ref="L21:M21"/>
    <mergeCell ref="N21:O21"/>
    <mergeCell ref="D1:E1"/>
    <mergeCell ref="F1:G1"/>
    <mergeCell ref="H1:I1"/>
    <mergeCell ref="J1:K1"/>
    <mergeCell ref="L1:M1"/>
    <mergeCell ref="N1:O1"/>
    <mergeCell ref="A3:A1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 outlineLevelRow="1"/>
  <cols>
    <col customWidth="1" min="1" max="1" width="7.0"/>
    <col customWidth="1" min="2" max="2" width="34.5"/>
    <col customWidth="1" min="3" max="3" width="14.75"/>
    <col customWidth="1" min="4" max="4" width="15.75"/>
    <col customWidth="1" min="5" max="6" width="15.0"/>
    <col customWidth="1" min="7" max="7" width="13.5"/>
    <col customWidth="1" min="8" max="9" width="15.0"/>
    <col customWidth="1" min="10" max="10" width="12.0"/>
    <col customWidth="1" min="11" max="12" width="15.0"/>
    <col customWidth="1" min="13" max="22" width="13.88"/>
  </cols>
  <sheetData>
    <row r="1" ht="14.25" customHeight="1">
      <c r="A1" s="56"/>
      <c r="B1" s="56"/>
      <c r="C1" s="2" t="s">
        <v>0</v>
      </c>
      <c r="D1" s="3" t="str">
        <f t="shared" ref="D1:V1" si="1">+C1</f>
        <v>LUNES</v>
      </c>
      <c r="E1" s="3" t="str">
        <f t="shared" si="1"/>
        <v>LUNES</v>
      </c>
      <c r="F1" s="3" t="str">
        <f t="shared" si="1"/>
        <v>LUNES</v>
      </c>
      <c r="G1" s="3" t="str">
        <f t="shared" si="1"/>
        <v>LUNES</v>
      </c>
      <c r="H1" s="3" t="str">
        <f t="shared" si="1"/>
        <v>LUNES</v>
      </c>
      <c r="I1" s="3" t="str">
        <f t="shared" si="1"/>
        <v>LUNES</v>
      </c>
      <c r="J1" s="3" t="str">
        <f t="shared" si="1"/>
        <v>LUNES</v>
      </c>
      <c r="K1" s="3" t="str">
        <f t="shared" si="1"/>
        <v>LUNES</v>
      </c>
      <c r="L1" s="3" t="str">
        <f t="shared" si="1"/>
        <v>LUNES</v>
      </c>
      <c r="M1" s="3" t="str">
        <f t="shared" si="1"/>
        <v>LUNES</v>
      </c>
      <c r="N1" s="3" t="str">
        <f t="shared" si="1"/>
        <v>LUNES</v>
      </c>
      <c r="O1" s="3" t="str">
        <f t="shared" si="1"/>
        <v>LUNES</v>
      </c>
      <c r="P1" s="3" t="str">
        <f t="shared" si="1"/>
        <v>LUNES</v>
      </c>
      <c r="Q1" s="3" t="str">
        <f t="shared" si="1"/>
        <v>LUNES</v>
      </c>
      <c r="R1" s="3" t="str">
        <f t="shared" si="1"/>
        <v>LUNES</v>
      </c>
      <c r="S1" s="3" t="str">
        <f t="shared" si="1"/>
        <v>LUNES</v>
      </c>
      <c r="T1" s="3" t="str">
        <f t="shared" si="1"/>
        <v>LUNES</v>
      </c>
      <c r="U1" s="3" t="str">
        <f t="shared" si="1"/>
        <v>LUNES</v>
      </c>
      <c r="V1" s="3" t="str">
        <f t="shared" si="1"/>
        <v>LUNES</v>
      </c>
    </row>
    <row r="2" ht="14.25" customHeight="1">
      <c r="A2" s="56"/>
      <c r="B2" s="56"/>
      <c r="C2" s="5">
        <v>46020.0</v>
      </c>
      <c r="D2" s="6">
        <f t="shared" ref="D2:V2" si="2">+C2+7</f>
        <v>46027</v>
      </c>
      <c r="E2" s="58">
        <f t="shared" si="2"/>
        <v>46034</v>
      </c>
      <c r="F2" s="58">
        <f t="shared" si="2"/>
        <v>46041</v>
      </c>
      <c r="G2" s="58">
        <f t="shared" si="2"/>
        <v>46048</v>
      </c>
      <c r="H2" s="58">
        <f t="shared" si="2"/>
        <v>46055</v>
      </c>
      <c r="I2" s="58">
        <f t="shared" si="2"/>
        <v>46062</v>
      </c>
      <c r="J2" s="58">
        <f t="shared" si="2"/>
        <v>46069</v>
      </c>
      <c r="K2" s="58">
        <f t="shared" si="2"/>
        <v>46076</v>
      </c>
      <c r="L2" s="58">
        <f t="shared" si="2"/>
        <v>46083</v>
      </c>
      <c r="M2" s="58">
        <f t="shared" si="2"/>
        <v>46090</v>
      </c>
      <c r="N2" s="58">
        <f t="shared" si="2"/>
        <v>46097</v>
      </c>
      <c r="O2" s="58">
        <f t="shared" si="2"/>
        <v>46104</v>
      </c>
      <c r="P2" s="58">
        <f t="shared" si="2"/>
        <v>46111</v>
      </c>
      <c r="Q2" s="58">
        <f t="shared" si="2"/>
        <v>46118</v>
      </c>
      <c r="R2" s="58">
        <f t="shared" si="2"/>
        <v>46125</v>
      </c>
      <c r="S2" s="58">
        <f t="shared" si="2"/>
        <v>46132</v>
      </c>
      <c r="T2" s="58">
        <f t="shared" si="2"/>
        <v>46139</v>
      </c>
      <c r="U2" s="58">
        <f t="shared" si="2"/>
        <v>46146</v>
      </c>
      <c r="V2" s="58">
        <f t="shared" si="2"/>
        <v>46153</v>
      </c>
    </row>
    <row r="3" ht="14.25" customHeight="1">
      <c r="A3" s="60"/>
      <c r="B3" s="60"/>
      <c r="C3" s="60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</row>
    <row r="4" ht="14.25" customHeight="1">
      <c r="A4" s="64"/>
      <c r="B4" s="65" t="s">
        <v>1</v>
      </c>
      <c r="C4" s="186">
        <v>0.0</v>
      </c>
      <c r="D4" s="13">
        <f t="shared" ref="D4:V4" si="3">+C16</f>
        <v>0</v>
      </c>
      <c r="E4" s="13">
        <f t="shared" si="3"/>
        <v>0</v>
      </c>
      <c r="F4" s="13">
        <f t="shared" si="3"/>
        <v>0</v>
      </c>
      <c r="G4" s="13">
        <f t="shared" si="3"/>
        <v>0</v>
      </c>
      <c r="H4" s="13">
        <f t="shared" si="3"/>
        <v>0</v>
      </c>
      <c r="I4" s="13">
        <f t="shared" si="3"/>
        <v>0</v>
      </c>
      <c r="J4" s="13">
        <f t="shared" si="3"/>
        <v>0</v>
      </c>
      <c r="K4" s="13">
        <f t="shared" si="3"/>
        <v>0</v>
      </c>
      <c r="L4" s="13">
        <f t="shared" si="3"/>
        <v>0</v>
      </c>
      <c r="M4" s="13">
        <f t="shared" si="3"/>
        <v>0</v>
      </c>
      <c r="N4" s="13">
        <f t="shared" si="3"/>
        <v>0</v>
      </c>
      <c r="O4" s="13">
        <f t="shared" si="3"/>
        <v>0</v>
      </c>
      <c r="P4" s="13">
        <f t="shared" si="3"/>
        <v>0</v>
      </c>
      <c r="Q4" s="13">
        <f t="shared" si="3"/>
        <v>-1000000</v>
      </c>
      <c r="R4" s="13">
        <f t="shared" si="3"/>
        <v>-1000000</v>
      </c>
      <c r="S4" s="13">
        <f t="shared" si="3"/>
        <v>-1000000</v>
      </c>
      <c r="T4" s="13">
        <f t="shared" si="3"/>
        <v>-1000000</v>
      </c>
      <c r="U4" s="13">
        <f t="shared" si="3"/>
        <v>-1000000</v>
      </c>
      <c r="V4" s="13">
        <f t="shared" si="3"/>
        <v>-1000000</v>
      </c>
    </row>
    <row r="5" ht="14.25" customHeight="1">
      <c r="A5" s="60"/>
      <c r="B5" s="60"/>
      <c r="C5" s="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</row>
    <row r="6" ht="14.25" customHeight="1">
      <c r="A6" s="68"/>
      <c r="B6" s="69" t="s">
        <v>3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</row>
    <row r="7" ht="14.25" customHeight="1" outlineLevel="1">
      <c r="A7" s="20"/>
      <c r="B7" s="72" t="s">
        <v>145</v>
      </c>
      <c r="C7" s="71">
        <v>0.0</v>
      </c>
      <c r="D7" s="71">
        <v>0.0</v>
      </c>
      <c r="E7" s="71">
        <v>0.0</v>
      </c>
      <c r="F7" s="71">
        <v>0.0</v>
      </c>
      <c r="G7" s="71">
        <v>0.0</v>
      </c>
      <c r="H7" s="71">
        <v>0.0</v>
      </c>
      <c r="I7" s="71">
        <v>0.0</v>
      </c>
      <c r="J7" s="71">
        <v>0.0</v>
      </c>
      <c r="K7" s="71">
        <v>0.0</v>
      </c>
      <c r="L7" s="79">
        <v>0.0</v>
      </c>
      <c r="M7" s="71">
        <v>0.0</v>
      </c>
      <c r="N7" s="71">
        <v>0.0</v>
      </c>
      <c r="O7" s="71">
        <v>0.0</v>
      </c>
      <c r="P7" s="71">
        <v>0.0</v>
      </c>
      <c r="Q7" s="71">
        <v>0.0</v>
      </c>
      <c r="R7" s="71">
        <v>0.0</v>
      </c>
      <c r="S7" s="71">
        <v>0.0</v>
      </c>
      <c r="T7" s="71">
        <v>0.0</v>
      </c>
      <c r="U7" s="71">
        <v>0.0</v>
      </c>
      <c r="V7" s="71">
        <v>0.0</v>
      </c>
    </row>
    <row r="8" ht="14.25" customHeight="1" outlineLevel="1">
      <c r="A8" s="20"/>
      <c r="B8" s="72"/>
      <c r="C8" s="71">
        <v>0.0</v>
      </c>
      <c r="D8" s="71">
        <v>0.0</v>
      </c>
      <c r="E8" s="71">
        <v>0.0</v>
      </c>
      <c r="F8" s="71">
        <v>0.0</v>
      </c>
      <c r="G8" s="71">
        <v>0.0</v>
      </c>
      <c r="H8" s="71">
        <v>0.0</v>
      </c>
      <c r="I8" s="71">
        <v>0.0</v>
      </c>
      <c r="J8" s="71">
        <v>0.0</v>
      </c>
      <c r="K8" s="71">
        <v>0.0</v>
      </c>
      <c r="L8" s="71">
        <v>0.0</v>
      </c>
      <c r="M8" s="71">
        <v>0.0</v>
      </c>
      <c r="N8" s="71">
        <v>0.0</v>
      </c>
      <c r="O8" s="71">
        <v>0.0</v>
      </c>
      <c r="P8" s="71">
        <v>0.0</v>
      </c>
      <c r="Q8" s="71">
        <v>0.0</v>
      </c>
      <c r="R8" s="71">
        <v>0.0</v>
      </c>
      <c r="S8" s="71">
        <v>0.0</v>
      </c>
      <c r="T8" s="71">
        <v>0.0</v>
      </c>
      <c r="U8" s="71">
        <v>0.0</v>
      </c>
      <c r="V8" s="71">
        <v>0.0</v>
      </c>
    </row>
    <row r="9" ht="14.25" customHeight="1">
      <c r="A9" s="23"/>
      <c r="B9" s="75" t="s">
        <v>24</v>
      </c>
      <c r="C9" s="24">
        <f t="shared" ref="C9:V9" si="4">SUM(C7:C8)</f>
        <v>0</v>
      </c>
      <c r="D9" s="24">
        <f t="shared" si="4"/>
        <v>0</v>
      </c>
      <c r="E9" s="24">
        <f t="shared" si="4"/>
        <v>0</v>
      </c>
      <c r="F9" s="24">
        <f t="shared" si="4"/>
        <v>0</v>
      </c>
      <c r="G9" s="24">
        <f t="shared" si="4"/>
        <v>0</v>
      </c>
      <c r="H9" s="24">
        <f t="shared" si="4"/>
        <v>0</v>
      </c>
      <c r="I9" s="24">
        <f t="shared" si="4"/>
        <v>0</v>
      </c>
      <c r="J9" s="24">
        <f t="shared" si="4"/>
        <v>0</v>
      </c>
      <c r="K9" s="24">
        <f t="shared" si="4"/>
        <v>0</v>
      </c>
      <c r="L9" s="24">
        <f t="shared" si="4"/>
        <v>0</v>
      </c>
      <c r="M9" s="24">
        <f t="shared" si="4"/>
        <v>0</v>
      </c>
      <c r="N9" s="24">
        <f t="shared" si="4"/>
        <v>0</v>
      </c>
      <c r="O9" s="24">
        <f t="shared" si="4"/>
        <v>0</v>
      </c>
      <c r="P9" s="24">
        <f t="shared" si="4"/>
        <v>0</v>
      </c>
      <c r="Q9" s="24">
        <f t="shared" si="4"/>
        <v>0</v>
      </c>
      <c r="R9" s="24">
        <f t="shared" si="4"/>
        <v>0</v>
      </c>
      <c r="S9" s="24">
        <f t="shared" si="4"/>
        <v>0</v>
      </c>
      <c r="T9" s="24">
        <f t="shared" si="4"/>
        <v>0</v>
      </c>
      <c r="U9" s="24">
        <f t="shared" si="4"/>
        <v>0</v>
      </c>
      <c r="V9" s="24">
        <f t="shared" si="4"/>
        <v>0</v>
      </c>
    </row>
    <row r="10" ht="14.25" customHeight="1">
      <c r="A10" s="60"/>
      <c r="B10" s="60"/>
      <c r="C10" s="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</row>
    <row r="11" ht="14.25" customHeight="1">
      <c r="A11" s="76"/>
      <c r="B11" s="69" t="s">
        <v>25</v>
      </c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ht="14.25" customHeight="1" outlineLevel="1">
      <c r="A12" s="78"/>
      <c r="B12" s="72" t="s">
        <v>146</v>
      </c>
      <c r="C12" s="7">
        <v>0.0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19">
        <v>0.0</v>
      </c>
      <c r="J12" s="7">
        <v>0.0</v>
      </c>
      <c r="K12" s="7">
        <v>0.0</v>
      </c>
      <c r="L12" s="7">
        <v>0.0</v>
      </c>
      <c r="M12" s="22">
        <v>0.0</v>
      </c>
      <c r="N12" s="7">
        <v>0.0</v>
      </c>
      <c r="O12" s="19">
        <v>0.0</v>
      </c>
      <c r="P12" s="187">
        <v>1000000.0</v>
      </c>
      <c r="Q12" s="19">
        <v>0.0</v>
      </c>
      <c r="R12" s="19">
        <v>0.0</v>
      </c>
      <c r="S12" s="19">
        <v>0.0</v>
      </c>
      <c r="T12" s="19">
        <v>0.0</v>
      </c>
      <c r="U12" s="19">
        <v>0.0</v>
      </c>
      <c r="V12" s="19">
        <v>0.0</v>
      </c>
    </row>
    <row r="13" ht="14.25" customHeight="1" outlineLevel="1">
      <c r="A13" s="23"/>
      <c r="B13" s="72"/>
      <c r="C13" s="7">
        <v>0.0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</row>
    <row r="14" ht="14.25" customHeight="1">
      <c r="A14" s="97"/>
      <c r="B14" s="75" t="s">
        <v>58</v>
      </c>
      <c r="C14" s="24">
        <f t="shared" ref="C14:V14" si="5">SUM(C11:C13)</f>
        <v>0</v>
      </c>
      <c r="D14" s="24">
        <f t="shared" si="5"/>
        <v>0</v>
      </c>
      <c r="E14" s="24">
        <f t="shared" si="5"/>
        <v>0</v>
      </c>
      <c r="F14" s="24">
        <f t="shared" si="5"/>
        <v>0</v>
      </c>
      <c r="G14" s="24">
        <f t="shared" si="5"/>
        <v>0</v>
      </c>
      <c r="H14" s="24">
        <f t="shared" si="5"/>
        <v>0</v>
      </c>
      <c r="I14" s="24">
        <f t="shared" si="5"/>
        <v>0</v>
      </c>
      <c r="J14" s="24">
        <f t="shared" si="5"/>
        <v>0</v>
      </c>
      <c r="K14" s="24">
        <f t="shared" si="5"/>
        <v>0</v>
      </c>
      <c r="L14" s="24">
        <f t="shared" si="5"/>
        <v>0</v>
      </c>
      <c r="M14" s="24">
        <f t="shared" si="5"/>
        <v>0</v>
      </c>
      <c r="N14" s="24">
        <f t="shared" si="5"/>
        <v>0</v>
      </c>
      <c r="O14" s="24">
        <f t="shared" si="5"/>
        <v>0</v>
      </c>
      <c r="P14" s="24">
        <f t="shared" si="5"/>
        <v>1000000</v>
      </c>
      <c r="Q14" s="24">
        <f t="shared" si="5"/>
        <v>0</v>
      </c>
      <c r="R14" s="24">
        <f t="shared" si="5"/>
        <v>0</v>
      </c>
      <c r="S14" s="24">
        <f t="shared" si="5"/>
        <v>0</v>
      </c>
      <c r="T14" s="24">
        <f t="shared" si="5"/>
        <v>0</v>
      </c>
      <c r="U14" s="24">
        <f t="shared" si="5"/>
        <v>0</v>
      </c>
      <c r="V14" s="24">
        <f t="shared" si="5"/>
        <v>0</v>
      </c>
    </row>
    <row r="15" ht="14.25" customHeight="1">
      <c r="A15" s="60"/>
      <c r="B15" s="60"/>
      <c r="C15" s="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</row>
    <row r="16" ht="14.25" customHeight="1">
      <c r="A16" s="188"/>
      <c r="B16" s="189" t="s">
        <v>59</v>
      </c>
      <c r="C16" s="190">
        <f t="shared" ref="C16:V16" si="6">+C4+C9-C14</f>
        <v>0</v>
      </c>
      <c r="D16" s="190">
        <f t="shared" si="6"/>
        <v>0</v>
      </c>
      <c r="E16" s="190">
        <f t="shared" si="6"/>
        <v>0</v>
      </c>
      <c r="F16" s="190">
        <f t="shared" si="6"/>
        <v>0</v>
      </c>
      <c r="G16" s="190">
        <f t="shared" si="6"/>
        <v>0</v>
      </c>
      <c r="H16" s="190">
        <f t="shared" si="6"/>
        <v>0</v>
      </c>
      <c r="I16" s="190">
        <f t="shared" si="6"/>
        <v>0</v>
      </c>
      <c r="J16" s="190">
        <f t="shared" si="6"/>
        <v>0</v>
      </c>
      <c r="K16" s="190">
        <f t="shared" si="6"/>
        <v>0</v>
      </c>
      <c r="L16" s="190">
        <f t="shared" si="6"/>
        <v>0</v>
      </c>
      <c r="M16" s="190">
        <f t="shared" si="6"/>
        <v>0</v>
      </c>
      <c r="N16" s="190">
        <f t="shared" si="6"/>
        <v>0</v>
      </c>
      <c r="O16" s="190">
        <f t="shared" si="6"/>
        <v>0</v>
      </c>
      <c r="P16" s="190">
        <f t="shared" si="6"/>
        <v>-1000000</v>
      </c>
      <c r="Q16" s="190">
        <f t="shared" si="6"/>
        <v>-1000000</v>
      </c>
      <c r="R16" s="190">
        <f t="shared" si="6"/>
        <v>-1000000</v>
      </c>
      <c r="S16" s="190">
        <f t="shared" si="6"/>
        <v>-1000000</v>
      </c>
      <c r="T16" s="190">
        <f t="shared" si="6"/>
        <v>-1000000</v>
      </c>
      <c r="U16" s="190">
        <f t="shared" si="6"/>
        <v>-1000000</v>
      </c>
      <c r="V16" s="190">
        <f t="shared" si="6"/>
        <v>-1000000</v>
      </c>
    </row>
    <row r="17" ht="14.25" customHeight="1">
      <c r="A17" s="106"/>
      <c r="B17" s="106"/>
      <c r="C17" s="47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</row>
    <row r="18" ht="14.25" customHeight="1">
      <c r="A18" s="106"/>
      <c r="B18" s="106"/>
      <c r="C18" s="47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</row>
    <row r="19" ht="14.25" customHeight="1">
      <c r="A19" s="106"/>
      <c r="B19" s="106"/>
      <c r="C19" s="47"/>
      <c r="D19" s="191"/>
      <c r="E19" s="49" t="s">
        <v>62</v>
      </c>
      <c r="F19" s="48"/>
      <c r="G19" s="49" t="s">
        <v>147</v>
      </c>
      <c r="H19" s="106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</row>
    <row r="20" ht="14.25" customHeight="1">
      <c r="A20" s="192"/>
      <c r="B20" s="106"/>
      <c r="C20" s="193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</row>
    <row r="21" ht="14.25" customHeight="1">
      <c r="B21" s="106"/>
      <c r="C21" s="195"/>
      <c r="D21" s="47"/>
      <c r="E21" s="195"/>
      <c r="F21" s="47"/>
      <c r="G21" s="47"/>
      <c r="H21" s="47"/>
      <c r="I21" s="195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</row>
    <row r="22" ht="14.25" customHeight="1">
      <c r="B22" s="106"/>
      <c r="C22" s="195"/>
      <c r="D22" s="195"/>
      <c r="E22" s="47"/>
      <c r="F22" s="195"/>
      <c r="G22" s="195"/>
      <c r="H22" s="195"/>
      <c r="I22" s="195"/>
      <c r="J22" s="195"/>
      <c r="K22" s="195"/>
      <c r="L22" s="195"/>
      <c r="M22" s="47"/>
      <c r="N22" s="47"/>
      <c r="O22" s="47"/>
      <c r="P22" s="47"/>
      <c r="Q22" s="47"/>
      <c r="R22" s="47"/>
      <c r="S22" s="47"/>
      <c r="T22" s="47"/>
      <c r="U22" s="47"/>
      <c r="V22" s="47"/>
    </row>
    <row r="23" ht="14.25" customHeight="1">
      <c r="B23" s="19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</row>
    <row r="24" ht="14.25" customHeight="1">
      <c r="B24" s="19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</row>
    <row r="25" ht="14.25" customHeight="1">
      <c r="B25" s="106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</row>
    <row r="26" ht="14.25" customHeight="1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</row>
    <row r="27" ht="14.25" customHeight="1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</row>
    <row r="28" ht="14.25" customHeight="1">
      <c r="A28" s="106"/>
      <c r="B28" s="106"/>
      <c r="C28" s="106"/>
      <c r="D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</row>
    <row r="29" ht="14.25" customHeight="1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</row>
    <row r="30" ht="14.25" customHeight="1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</row>
    <row r="31" ht="14.25" customHeight="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</row>
    <row r="32" ht="14.25" customHeight="1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</row>
    <row r="33" ht="14.25" customHeight="1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</row>
    <row r="34" ht="14.25" customHeight="1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</row>
    <row r="35" ht="14.25" customHeight="1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</row>
    <row r="36" ht="14.25" customHeight="1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</row>
    <row r="37" ht="14.25" customHeight="1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</row>
    <row r="38" ht="14.25" customHeight="1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</row>
    <row r="39" ht="14.25" customHeight="1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</row>
    <row r="40" ht="14.25" customHeight="1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</row>
    <row r="41" ht="14.25" customHeight="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</row>
    <row r="42" ht="14.25" customHeight="1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</row>
    <row r="43" ht="14.25" customHeight="1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</row>
    <row r="44" ht="14.25" customHeight="1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</row>
    <row r="45" ht="14.25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</row>
    <row r="46" ht="14.25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</row>
    <row r="47" ht="14.25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</row>
    <row r="48" ht="14.25" customHeight="1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</row>
    <row r="49" ht="14.25" customHeight="1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</row>
    <row r="50" ht="14.25" customHeight="1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</row>
    <row r="51" ht="14.25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</row>
    <row r="52" ht="14.25" customHeight="1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</row>
    <row r="53" ht="14.25" customHeight="1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</row>
    <row r="54" ht="14.25" customHeigh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</row>
    <row r="55" ht="14.25" customHeight="1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</row>
    <row r="56" ht="14.25" customHeight="1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</row>
    <row r="57" ht="14.25" customHeight="1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</row>
    <row r="58" ht="14.25" customHeight="1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</row>
    <row r="59" ht="14.25" customHeight="1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</row>
    <row r="60" ht="14.25" customHeight="1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</row>
    <row r="61" ht="14.25" customHeight="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</row>
    <row r="62" ht="14.25" customHeight="1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</row>
    <row r="63" ht="14.25" customHeight="1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</row>
    <row r="64" ht="14.25" customHeight="1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</row>
    <row r="65" ht="14.25" customHeight="1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</row>
    <row r="66" ht="14.25" customHeight="1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</row>
    <row r="67" ht="14.25" customHeight="1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</row>
    <row r="68" ht="14.25" customHeight="1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</row>
    <row r="69" ht="14.25" customHeight="1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</row>
    <row r="70" ht="14.25" customHeight="1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</row>
    <row r="71" ht="14.25" customHeight="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</row>
    <row r="72" ht="14.2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</row>
    <row r="73" ht="14.2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</row>
    <row r="74" ht="14.2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</row>
    <row r="75" ht="14.2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</row>
    <row r="76" ht="14.2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</row>
    <row r="77" ht="14.2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</row>
    <row r="78" ht="14.2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</row>
    <row r="79" ht="14.2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</row>
    <row r="80" ht="14.2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</row>
    <row r="86" ht="14.2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</row>
    <row r="87" ht="14.2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</row>
    <row r="88" ht="14.2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</row>
    <row r="89" ht="14.2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</row>
    <row r="90" ht="14.2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</row>
    <row r="91" ht="14.2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</row>
    <row r="92" ht="14.2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</row>
    <row r="93" ht="14.2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</row>
    <row r="94" ht="14.2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</row>
    <row r="95" ht="14.2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</row>
    <row r="96" ht="14.2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</row>
    <row r="97" ht="14.2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</row>
    <row r="98" ht="14.2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</row>
    <row r="99" ht="14.2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</row>
    <row r="100" ht="14.2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</row>
    <row r="101" ht="14.2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</row>
    <row r="102" ht="14.2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</row>
    <row r="103" ht="14.2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</row>
    <row r="104" ht="14.2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</row>
    <row r="105" ht="14.2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</row>
    <row r="106" ht="14.2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</row>
    <row r="107" ht="14.2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</row>
    <row r="108" ht="14.2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</row>
    <row r="109" ht="14.2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</row>
    <row r="110" ht="14.2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</row>
    <row r="111" ht="14.2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</row>
    <row r="112" ht="14.2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</row>
    <row r="113" ht="14.2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</row>
    <row r="114" ht="14.2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</row>
    <row r="115" ht="14.2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</row>
    <row r="116" ht="14.2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</row>
    <row r="117" ht="14.2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</row>
    <row r="118" ht="14.2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</row>
    <row r="119" ht="14.2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</row>
    <row r="120" ht="14.2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</row>
    <row r="121" ht="14.2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</row>
    <row r="122" ht="14.2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</row>
    <row r="123" ht="14.2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</row>
    <row r="124" ht="14.2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</row>
    <row r="125" ht="14.2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</row>
    <row r="126" ht="14.2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</row>
    <row r="127" ht="14.2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</row>
    <row r="128" ht="14.2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</row>
    <row r="129" ht="14.2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</row>
    <row r="130" ht="14.2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</row>
    <row r="131" ht="14.2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</row>
    <row r="132" ht="14.2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</row>
    <row r="133" ht="14.2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</row>
    <row r="134" ht="14.2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</row>
    <row r="135" ht="14.2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</row>
    <row r="136" ht="14.2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</row>
    <row r="137" ht="14.2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</row>
    <row r="138" ht="14.2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</row>
    <row r="139" ht="14.2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</row>
    <row r="140" ht="14.2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</row>
    <row r="141" ht="14.2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</row>
    <row r="142" ht="14.2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</row>
    <row r="143" ht="14.2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</row>
    <row r="144" ht="14.2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</row>
    <row r="145" ht="14.2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</row>
    <row r="146" ht="14.2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</row>
    <row r="147" ht="14.2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</row>
    <row r="148" ht="14.2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</row>
    <row r="149" ht="14.2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</row>
    <row r="150" ht="14.2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</row>
    <row r="151" ht="14.2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</row>
    <row r="152" ht="14.2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</row>
    <row r="153" ht="14.2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</row>
    <row r="154" ht="14.2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</row>
    <row r="155" ht="14.2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</row>
    <row r="156" ht="14.2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</row>
    <row r="157" ht="14.2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</row>
    <row r="158" ht="14.2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</row>
    <row r="159" ht="14.2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</row>
    <row r="160" ht="14.2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</row>
    <row r="161" ht="14.2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</row>
    <row r="162" ht="14.2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</row>
    <row r="163" ht="14.2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</row>
    <row r="164" ht="14.2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</row>
    <row r="165" ht="14.2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</row>
    <row r="166" ht="14.2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</row>
    <row r="167" ht="14.2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</row>
    <row r="168" ht="14.2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</row>
    <row r="169" ht="14.2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</row>
    <row r="170" ht="14.2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</row>
    <row r="171" ht="14.2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</row>
    <row r="172" ht="14.2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</row>
    <row r="173" ht="14.2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</row>
    <row r="174" ht="14.2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</row>
    <row r="175" ht="14.2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</row>
    <row r="176" ht="14.2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</row>
    <row r="177" ht="14.2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</row>
    <row r="178" ht="14.2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</row>
    <row r="179" ht="14.2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</row>
    <row r="180" ht="14.2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</row>
    <row r="181" ht="14.2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</row>
    <row r="182" ht="14.2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</row>
    <row r="183" ht="14.2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</row>
    <row r="184" ht="14.2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</row>
    <row r="185" ht="14.2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</row>
    <row r="186" ht="14.2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</row>
    <row r="187" ht="14.2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</row>
    <row r="188" ht="14.2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</row>
    <row r="189" ht="14.2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</row>
    <row r="190" ht="14.2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</row>
    <row r="191" ht="14.2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</row>
    <row r="192" ht="14.2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</row>
    <row r="193" ht="14.2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</row>
    <row r="194" ht="14.2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</row>
    <row r="195" ht="14.2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</row>
    <row r="196" ht="14.2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</row>
    <row r="197" ht="14.2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</row>
    <row r="198" ht="14.2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</row>
    <row r="199" ht="14.2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</row>
    <row r="200" ht="14.2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</row>
    <row r="201" ht="14.2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</row>
    <row r="202" ht="14.2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</row>
    <row r="203" ht="14.2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</row>
    <row r="204" ht="14.2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</row>
    <row r="205" ht="14.2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</row>
    <row r="206" ht="14.2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</row>
    <row r="207" ht="14.2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</row>
    <row r="208" ht="14.2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</row>
    <row r="209" ht="14.2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</row>
    <row r="210" ht="14.2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</row>
    <row r="211" ht="14.2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</row>
    <row r="212" ht="14.2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</row>
    <row r="213" ht="14.2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</row>
    <row r="214" ht="14.2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</row>
    <row r="215" ht="14.2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</row>
    <row r="216" ht="14.2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</row>
    <row r="217" ht="14.2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</row>
    <row r="218" ht="14.2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</row>
    <row r="219" ht="14.2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</row>
    <row r="220" ht="14.2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</row>
    <row r="221" ht="14.2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</row>
    <row r="222" ht="14.2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</row>
    <row r="223" ht="14.2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</row>
    <row r="224" ht="14.2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</row>
    <row r="225" ht="14.2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</row>
    <row r="226" ht="14.2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</row>
    <row r="227" ht="14.2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</row>
    <row r="228" ht="14.2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</row>
    <row r="229" ht="14.2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</row>
    <row r="230" ht="14.2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</row>
    <row r="231" ht="14.2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</row>
    <row r="232" ht="14.2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</row>
    <row r="233" ht="14.2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</row>
    <row r="234" ht="14.2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</row>
    <row r="235" ht="14.2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</row>
    <row r="236" ht="14.2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</row>
    <row r="237" ht="14.2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</row>
    <row r="238" ht="14.2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</row>
    <row r="239" ht="14.2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</row>
    <row r="240" ht="14.2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</row>
    <row r="241" ht="14.2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</row>
    <row r="242" ht="14.2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</row>
    <row r="243" ht="14.2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</row>
    <row r="244" ht="14.2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</row>
    <row r="245" ht="14.2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</row>
    <row r="246" ht="14.2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</row>
    <row r="247" ht="14.2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</row>
    <row r="248" ht="14.2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</row>
    <row r="249" ht="14.2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</row>
    <row r="250" ht="14.2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</row>
    <row r="251" ht="14.2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</row>
    <row r="252" ht="14.2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</row>
    <row r="253" ht="14.2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</row>
    <row r="254" ht="14.2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</row>
    <row r="255" ht="14.2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</row>
    <row r="256" ht="14.2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</row>
    <row r="257" ht="14.2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</row>
    <row r="258" ht="14.2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</row>
    <row r="259" ht="14.2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</row>
    <row r="260" ht="14.2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</row>
    <row r="261" ht="14.2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</row>
    <row r="262" ht="14.2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</row>
    <row r="263" ht="14.2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</row>
    <row r="264" ht="14.2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</row>
    <row r="265" ht="14.2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</row>
    <row r="266" ht="14.2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</row>
    <row r="267" ht="14.2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</row>
    <row r="268" ht="14.2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</row>
    <row r="269" ht="14.2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</row>
    <row r="270" ht="14.2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</row>
    <row r="271" ht="14.2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</row>
    <row r="272" ht="14.2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</row>
    <row r="273" ht="14.2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</row>
    <row r="274" ht="14.2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</row>
    <row r="275" ht="14.2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</row>
    <row r="276" ht="14.2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</row>
    <row r="277" ht="14.2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</row>
    <row r="278" ht="14.2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</row>
    <row r="279" ht="14.25" customHeight="1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</row>
    <row r="280" ht="14.25" customHeight="1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</row>
    <row r="281" ht="14.25" customHeight="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</row>
    <row r="282" ht="14.25" customHeight="1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</row>
    <row r="283" ht="14.25" customHeight="1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</row>
    <row r="284" ht="14.25" customHeight="1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</row>
    <row r="285" ht="14.25" customHeight="1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</row>
    <row r="286" ht="14.25" customHeight="1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</row>
    <row r="287" ht="14.25" customHeight="1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</row>
    <row r="288" ht="14.25" customHeight="1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</row>
    <row r="289" ht="14.25" customHeight="1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</row>
    <row r="290" ht="14.25" customHeight="1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</row>
    <row r="291" ht="14.25" customHeight="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</row>
    <row r="292" ht="14.25" customHeight="1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</row>
    <row r="293" ht="14.25" customHeight="1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</row>
    <row r="294" ht="14.25" customHeight="1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</row>
    <row r="295" ht="14.25" customHeight="1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</row>
    <row r="296" ht="14.25" customHeight="1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</row>
    <row r="297" ht="14.25" customHeight="1">
      <c r="A297" s="60"/>
      <c r="B297" s="60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</row>
    <row r="298" ht="14.25" customHeight="1">
      <c r="A298" s="60"/>
      <c r="B298" s="60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</row>
    <row r="299" ht="14.25" customHeight="1">
      <c r="A299" s="60"/>
      <c r="B299" s="60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</row>
    <row r="300" ht="14.25" customHeight="1">
      <c r="A300" s="60"/>
      <c r="B300" s="60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</row>
    <row r="301" ht="14.25" customHeight="1">
      <c r="A301" s="60"/>
      <c r="B301" s="60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</row>
    <row r="302" ht="14.25" customHeight="1">
      <c r="A302" s="60"/>
      <c r="B302" s="60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</row>
    <row r="303" ht="14.25" customHeight="1">
      <c r="A303" s="60"/>
      <c r="B303" s="60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</row>
    <row r="304" ht="14.25" customHeight="1">
      <c r="A304" s="60"/>
      <c r="B304" s="60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</row>
    <row r="305" ht="14.25" customHeight="1">
      <c r="A305" s="60"/>
      <c r="B305" s="60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</row>
    <row r="306" ht="14.25" customHeight="1">
      <c r="A306" s="60"/>
      <c r="B306" s="60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</row>
    <row r="307" ht="14.25" customHeight="1">
      <c r="A307" s="60"/>
      <c r="B307" s="60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</row>
    <row r="308" ht="14.25" customHeight="1">
      <c r="A308" s="60"/>
      <c r="B308" s="60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</row>
    <row r="309" ht="14.25" customHeight="1">
      <c r="A309" s="60"/>
      <c r="B309" s="60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</row>
    <row r="310" ht="14.25" customHeight="1">
      <c r="A310" s="60"/>
      <c r="B310" s="60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</row>
    <row r="311" ht="14.25" customHeight="1">
      <c r="A311" s="60"/>
      <c r="B311" s="60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</row>
    <row r="312" ht="14.25" customHeight="1">
      <c r="A312" s="60"/>
      <c r="B312" s="60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</row>
    <row r="313" ht="14.25" customHeight="1">
      <c r="A313" s="60"/>
      <c r="B313" s="60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</row>
    <row r="314" ht="14.25" customHeight="1">
      <c r="A314" s="60"/>
      <c r="B314" s="60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</row>
    <row r="315" ht="14.25" customHeight="1">
      <c r="A315" s="60"/>
      <c r="B315" s="60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</row>
    <row r="316" ht="14.25" customHeight="1">
      <c r="A316" s="60"/>
      <c r="B316" s="60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</row>
    <row r="317" ht="14.25" customHeight="1">
      <c r="A317" s="60"/>
      <c r="B317" s="60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</row>
    <row r="318" ht="14.25" customHeight="1">
      <c r="A318" s="60"/>
      <c r="B318" s="60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</row>
    <row r="319" ht="14.25" customHeight="1">
      <c r="A319" s="60"/>
      <c r="B319" s="60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</row>
    <row r="320" ht="14.25" customHeight="1">
      <c r="A320" s="60"/>
      <c r="B320" s="60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</row>
    <row r="321" ht="14.25" customHeight="1">
      <c r="A321" s="60"/>
      <c r="B321" s="60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</row>
    <row r="322" ht="14.25" customHeight="1">
      <c r="A322" s="60"/>
      <c r="B322" s="60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</row>
    <row r="323" ht="14.25" customHeight="1">
      <c r="A323" s="60"/>
      <c r="B323" s="60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</row>
    <row r="324" ht="14.25" customHeight="1">
      <c r="A324" s="60"/>
      <c r="B324" s="60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</row>
    <row r="325" ht="14.25" customHeight="1">
      <c r="A325" s="60"/>
      <c r="B325" s="60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</row>
    <row r="326" ht="14.25" customHeight="1">
      <c r="A326" s="60"/>
      <c r="B326" s="60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</row>
    <row r="327" ht="14.25" customHeight="1">
      <c r="A327" s="60"/>
      <c r="B327" s="60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</row>
    <row r="328" ht="14.25" customHeight="1">
      <c r="A328" s="60"/>
      <c r="B328" s="60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</row>
    <row r="329" ht="14.25" customHeight="1">
      <c r="A329" s="60"/>
      <c r="B329" s="60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</row>
    <row r="330" ht="14.25" customHeight="1">
      <c r="A330" s="60"/>
      <c r="B330" s="60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</row>
    <row r="331" ht="14.25" customHeight="1">
      <c r="A331" s="60"/>
      <c r="B331" s="60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</row>
    <row r="332" ht="14.25" customHeight="1">
      <c r="A332" s="60"/>
      <c r="B332" s="60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</row>
    <row r="333" ht="14.25" customHeight="1">
      <c r="A333" s="60"/>
      <c r="B333" s="60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</row>
    <row r="334" ht="14.25" customHeight="1">
      <c r="A334" s="60"/>
      <c r="B334" s="60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</row>
    <row r="335" ht="14.25" customHeight="1">
      <c r="A335" s="60"/>
      <c r="B335" s="60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</row>
    <row r="336" ht="14.25" customHeight="1">
      <c r="A336" s="60"/>
      <c r="B336" s="60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</row>
    <row r="337" ht="14.25" customHeight="1">
      <c r="A337" s="60"/>
      <c r="B337" s="60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</row>
    <row r="338" ht="14.25" customHeight="1">
      <c r="A338" s="60"/>
      <c r="B338" s="60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</row>
    <row r="339" ht="14.25" customHeight="1">
      <c r="A339" s="60"/>
      <c r="B339" s="60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</row>
    <row r="340" ht="14.25" customHeight="1">
      <c r="A340" s="60"/>
      <c r="B340" s="60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</row>
    <row r="341" ht="14.25" customHeight="1">
      <c r="A341" s="60"/>
      <c r="B341" s="60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</row>
    <row r="342" ht="14.25" customHeight="1">
      <c r="A342" s="60"/>
      <c r="B342" s="60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</row>
    <row r="343" ht="14.25" customHeight="1">
      <c r="A343" s="60"/>
      <c r="B343" s="60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</row>
    <row r="344" ht="14.25" customHeight="1">
      <c r="A344" s="60"/>
      <c r="B344" s="60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</row>
    <row r="345" ht="14.25" customHeight="1">
      <c r="A345" s="60"/>
      <c r="B345" s="60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</row>
    <row r="346" ht="14.25" customHeight="1">
      <c r="A346" s="60"/>
      <c r="B346" s="60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</row>
    <row r="347" ht="14.25" customHeight="1">
      <c r="A347" s="60"/>
      <c r="B347" s="60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</row>
    <row r="348" ht="14.25" customHeight="1">
      <c r="A348" s="60"/>
      <c r="B348" s="60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</row>
    <row r="349" ht="14.25" customHeight="1">
      <c r="A349" s="60"/>
      <c r="B349" s="60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</row>
    <row r="350" ht="14.25" customHeight="1">
      <c r="A350" s="60"/>
      <c r="B350" s="60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</row>
    <row r="351" ht="14.25" customHeight="1">
      <c r="A351" s="60"/>
      <c r="B351" s="60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</row>
    <row r="352" ht="14.25" customHeight="1">
      <c r="A352" s="60"/>
      <c r="B352" s="60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</row>
    <row r="353" ht="14.25" customHeight="1">
      <c r="A353" s="60"/>
      <c r="B353" s="60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</row>
    <row r="354" ht="14.25" customHeight="1">
      <c r="A354" s="60"/>
      <c r="B354" s="60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</row>
    <row r="355" ht="14.25" customHeight="1">
      <c r="A355" s="60"/>
      <c r="B355" s="60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</row>
    <row r="356" ht="14.25" customHeight="1">
      <c r="A356" s="60"/>
      <c r="B356" s="60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</row>
    <row r="357" ht="14.25" customHeight="1">
      <c r="A357" s="60"/>
      <c r="B357" s="60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</row>
    <row r="358" ht="14.25" customHeight="1">
      <c r="A358" s="60"/>
      <c r="B358" s="60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</row>
    <row r="359" ht="14.25" customHeight="1">
      <c r="A359" s="60"/>
      <c r="B359" s="60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</row>
    <row r="360" ht="14.25" customHeight="1">
      <c r="A360" s="60"/>
      <c r="B360" s="60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</row>
    <row r="361" ht="14.25" customHeight="1">
      <c r="A361" s="60"/>
      <c r="B361" s="60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</row>
    <row r="362" ht="14.25" customHeight="1">
      <c r="A362" s="60"/>
      <c r="B362" s="60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</row>
    <row r="363" ht="14.25" customHeight="1">
      <c r="A363" s="60"/>
      <c r="B363" s="60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</row>
    <row r="364" ht="14.25" customHeight="1">
      <c r="A364" s="60"/>
      <c r="B364" s="60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</row>
    <row r="365" ht="14.25" customHeight="1">
      <c r="A365" s="60"/>
      <c r="B365" s="60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</row>
    <row r="366" ht="14.25" customHeight="1">
      <c r="A366" s="60"/>
      <c r="B366" s="60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</row>
    <row r="367" ht="14.25" customHeight="1">
      <c r="A367" s="60"/>
      <c r="B367" s="60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</row>
    <row r="368" ht="14.25" customHeight="1">
      <c r="A368" s="60"/>
      <c r="B368" s="60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</row>
    <row r="369" ht="14.25" customHeight="1">
      <c r="A369" s="60"/>
      <c r="B369" s="60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</row>
    <row r="370" ht="14.25" customHeight="1">
      <c r="A370" s="60"/>
      <c r="B370" s="60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</row>
    <row r="371" ht="14.25" customHeight="1">
      <c r="A371" s="60"/>
      <c r="B371" s="60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</row>
    <row r="372" ht="14.25" customHeight="1">
      <c r="A372" s="60"/>
      <c r="B372" s="60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</row>
    <row r="373" ht="14.25" customHeight="1">
      <c r="A373" s="60"/>
      <c r="B373" s="60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</row>
    <row r="374" ht="14.25" customHeight="1">
      <c r="A374" s="60"/>
      <c r="B374" s="60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</row>
    <row r="375" ht="14.25" customHeight="1">
      <c r="A375" s="60"/>
      <c r="B375" s="60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</row>
    <row r="376" ht="14.25" customHeight="1">
      <c r="A376" s="60"/>
      <c r="B376" s="60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</row>
    <row r="377" ht="14.25" customHeight="1">
      <c r="A377" s="60"/>
      <c r="B377" s="60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</row>
    <row r="378" ht="14.25" customHeight="1">
      <c r="A378" s="60"/>
      <c r="B378" s="60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</row>
    <row r="379" ht="14.25" customHeight="1">
      <c r="A379" s="60"/>
      <c r="B379" s="60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</row>
    <row r="380" ht="14.25" customHeight="1">
      <c r="A380" s="60"/>
      <c r="B380" s="60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</row>
    <row r="381" ht="14.25" customHeight="1">
      <c r="A381" s="60"/>
      <c r="B381" s="60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</row>
    <row r="382" ht="14.25" customHeight="1">
      <c r="A382" s="60"/>
      <c r="B382" s="60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</row>
    <row r="383" ht="14.25" customHeight="1">
      <c r="A383" s="60"/>
      <c r="B383" s="60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</row>
    <row r="384" ht="14.25" customHeight="1">
      <c r="A384" s="60"/>
      <c r="B384" s="60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</row>
    <row r="385" ht="14.25" customHeight="1">
      <c r="A385" s="60"/>
      <c r="B385" s="60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</row>
    <row r="386" ht="14.25" customHeight="1">
      <c r="A386" s="60"/>
      <c r="B386" s="60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</row>
    <row r="387" ht="14.25" customHeight="1">
      <c r="A387" s="60"/>
      <c r="B387" s="60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</row>
    <row r="388" ht="14.25" customHeight="1">
      <c r="A388" s="60"/>
      <c r="B388" s="60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</row>
    <row r="389" ht="14.25" customHeight="1">
      <c r="A389" s="60"/>
      <c r="B389" s="60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</row>
    <row r="390" ht="14.25" customHeight="1">
      <c r="A390" s="60"/>
      <c r="B390" s="60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</row>
    <row r="391" ht="14.25" customHeight="1">
      <c r="A391" s="60"/>
      <c r="B391" s="60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</row>
    <row r="392" ht="14.25" customHeight="1">
      <c r="A392" s="60"/>
      <c r="B392" s="60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</row>
    <row r="393" ht="14.25" customHeight="1">
      <c r="A393" s="60"/>
      <c r="B393" s="60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</row>
    <row r="394" ht="14.25" customHeight="1">
      <c r="A394" s="60"/>
      <c r="B394" s="60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</row>
    <row r="395" ht="14.25" customHeight="1">
      <c r="A395" s="60"/>
      <c r="B395" s="60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</row>
    <row r="396" ht="14.25" customHeight="1">
      <c r="A396" s="60"/>
      <c r="B396" s="60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</row>
    <row r="397" ht="14.25" customHeight="1">
      <c r="A397" s="60"/>
      <c r="B397" s="60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</row>
    <row r="398" ht="14.25" customHeight="1">
      <c r="A398" s="60"/>
      <c r="B398" s="60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</row>
    <row r="399" ht="14.25" customHeight="1">
      <c r="A399" s="60"/>
      <c r="B399" s="60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</row>
    <row r="400" ht="14.25" customHeight="1">
      <c r="A400" s="60"/>
      <c r="B400" s="60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</row>
    <row r="401" ht="14.25" customHeight="1">
      <c r="A401" s="60"/>
      <c r="B401" s="60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</row>
    <row r="402" ht="14.25" customHeight="1">
      <c r="A402" s="60"/>
      <c r="B402" s="60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</row>
    <row r="403" ht="14.25" customHeight="1">
      <c r="A403" s="60"/>
      <c r="B403" s="60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</row>
    <row r="404" ht="14.25" customHeight="1">
      <c r="A404" s="60"/>
      <c r="B404" s="60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</row>
    <row r="405" ht="14.25" customHeight="1">
      <c r="A405" s="60"/>
      <c r="B405" s="60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</row>
    <row r="406" ht="14.25" customHeight="1">
      <c r="A406" s="60"/>
      <c r="B406" s="60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</row>
    <row r="407" ht="14.25" customHeight="1">
      <c r="A407" s="60"/>
      <c r="B407" s="60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</row>
    <row r="408" ht="14.25" customHeight="1">
      <c r="A408" s="60"/>
      <c r="B408" s="60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</row>
    <row r="409" ht="14.25" customHeight="1">
      <c r="A409" s="60"/>
      <c r="B409" s="60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</row>
    <row r="410" ht="14.25" customHeight="1">
      <c r="A410" s="60"/>
      <c r="B410" s="60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</row>
    <row r="411" ht="14.25" customHeight="1">
      <c r="A411" s="60"/>
      <c r="B411" s="60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</row>
    <row r="412" ht="14.25" customHeight="1">
      <c r="A412" s="60"/>
      <c r="B412" s="60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</row>
    <row r="413" ht="14.25" customHeight="1">
      <c r="A413" s="60"/>
      <c r="B413" s="60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</row>
    <row r="414" ht="14.25" customHeight="1">
      <c r="A414" s="60"/>
      <c r="B414" s="60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</row>
    <row r="415" ht="14.25" customHeight="1">
      <c r="A415" s="60"/>
      <c r="B415" s="60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</row>
    <row r="416" ht="14.25" customHeight="1">
      <c r="A416" s="60"/>
      <c r="B416" s="60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</row>
    <row r="417" ht="14.25" customHeight="1">
      <c r="A417" s="60"/>
      <c r="B417" s="60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</row>
    <row r="418" ht="14.25" customHeight="1">
      <c r="A418" s="60"/>
      <c r="B418" s="60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</row>
    <row r="419" ht="14.25" customHeight="1">
      <c r="A419" s="60"/>
      <c r="B419" s="60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</row>
    <row r="420" ht="14.25" customHeight="1">
      <c r="A420" s="60"/>
      <c r="B420" s="60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</row>
    <row r="421" ht="14.25" customHeight="1">
      <c r="A421" s="60"/>
      <c r="B421" s="60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</row>
    <row r="422" ht="14.25" customHeight="1">
      <c r="A422" s="60"/>
      <c r="B422" s="60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</row>
    <row r="423" ht="14.25" customHeight="1">
      <c r="A423" s="60"/>
      <c r="B423" s="60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</row>
    <row r="424" ht="14.25" customHeight="1">
      <c r="A424" s="60"/>
      <c r="B424" s="60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</row>
    <row r="425" ht="14.25" customHeight="1">
      <c r="A425" s="60"/>
      <c r="B425" s="60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</row>
    <row r="426" ht="14.25" customHeight="1">
      <c r="A426" s="60"/>
      <c r="B426" s="60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</row>
    <row r="427" ht="14.25" customHeight="1">
      <c r="A427" s="60"/>
      <c r="B427" s="60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</row>
    <row r="428" ht="14.25" customHeight="1">
      <c r="A428" s="60"/>
      <c r="B428" s="60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</row>
    <row r="429" ht="14.25" customHeight="1">
      <c r="A429" s="60"/>
      <c r="B429" s="60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</row>
    <row r="430" ht="14.25" customHeight="1">
      <c r="A430" s="60"/>
      <c r="B430" s="60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</row>
    <row r="431" ht="14.25" customHeight="1">
      <c r="A431" s="60"/>
      <c r="B431" s="60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</row>
    <row r="432" ht="14.25" customHeight="1">
      <c r="A432" s="60"/>
      <c r="B432" s="60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</row>
    <row r="433" ht="14.25" customHeight="1">
      <c r="A433" s="60"/>
      <c r="B433" s="60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</row>
    <row r="434" ht="14.25" customHeight="1">
      <c r="A434" s="60"/>
      <c r="B434" s="60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</row>
    <row r="435" ht="14.25" customHeight="1">
      <c r="A435" s="60"/>
      <c r="B435" s="60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</row>
    <row r="436" ht="14.25" customHeight="1">
      <c r="A436" s="60"/>
      <c r="B436" s="60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</row>
    <row r="437" ht="14.25" customHeight="1">
      <c r="A437" s="60"/>
      <c r="B437" s="60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</row>
    <row r="438" ht="14.25" customHeight="1">
      <c r="A438" s="60"/>
      <c r="B438" s="60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</row>
    <row r="439" ht="14.25" customHeight="1">
      <c r="A439" s="60"/>
      <c r="B439" s="60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</row>
    <row r="440" ht="14.25" customHeight="1">
      <c r="A440" s="60"/>
      <c r="B440" s="60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</row>
    <row r="441" ht="14.25" customHeight="1">
      <c r="A441" s="60"/>
      <c r="B441" s="60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</row>
    <row r="442" ht="14.25" customHeight="1">
      <c r="A442" s="60"/>
      <c r="B442" s="60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</row>
    <row r="443" ht="14.25" customHeight="1">
      <c r="A443" s="60"/>
      <c r="B443" s="60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</row>
    <row r="444" ht="14.25" customHeight="1">
      <c r="A444" s="60"/>
      <c r="B444" s="60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</row>
    <row r="445" ht="14.25" customHeight="1">
      <c r="A445" s="60"/>
      <c r="B445" s="60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</row>
    <row r="446" ht="14.25" customHeight="1">
      <c r="A446" s="60"/>
      <c r="B446" s="60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</row>
    <row r="447" ht="14.25" customHeight="1">
      <c r="A447" s="60"/>
      <c r="B447" s="60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</row>
    <row r="448" ht="14.25" customHeight="1">
      <c r="A448" s="60"/>
      <c r="B448" s="60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</row>
    <row r="449" ht="14.25" customHeight="1">
      <c r="A449" s="60"/>
      <c r="B449" s="60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</row>
    <row r="450" ht="14.25" customHeight="1">
      <c r="A450" s="60"/>
      <c r="B450" s="60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</row>
    <row r="451" ht="14.25" customHeight="1">
      <c r="A451" s="60"/>
      <c r="B451" s="60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</row>
    <row r="452" ht="14.25" customHeight="1">
      <c r="A452" s="60"/>
      <c r="B452" s="60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</row>
    <row r="453" ht="14.25" customHeight="1">
      <c r="A453" s="60"/>
      <c r="B453" s="60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</row>
    <row r="454" ht="14.25" customHeight="1">
      <c r="A454" s="60"/>
      <c r="B454" s="60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</row>
    <row r="455" ht="14.25" customHeight="1">
      <c r="A455" s="60"/>
      <c r="B455" s="60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</row>
    <row r="456" ht="14.25" customHeight="1">
      <c r="A456" s="60"/>
      <c r="B456" s="60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</row>
    <row r="457" ht="14.25" customHeight="1">
      <c r="A457" s="60"/>
      <c r="B457" s="60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</row>
    <row r="458" ht="14.25" customHeight="1">
      <c r="A458" s="60"/>
      <c r="B458" s="60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</row>
    <row r="459" ht="14.25" customHeight="1">
      <c r="A459" s="60"/>
      <c r="B459" s="60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</row>
    <row r="460" ht="14.25" customHeight="1">
      <c r="A460" s="60"/>
      <c r="B460" s="60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</row>
    <row r="461" ht="14.25" customHeight="1">
      <c r="A461" s="60"/>
      <c r="B461" s="60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</row>
    <row r="462" ht="14.25" customHeight="1">
      <c r="A462" s="60"/>
      <c r="B462" s="60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</row>
    <row r="463" ht="14.25" customHeight="1">
      <c r="A463" s="60"/>
      <c r="B463" s="60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</row>
    <row r="464" ht="14.25" customHeight="1">
      <c r="A464" s="60"/>
      <c r="B464" s="60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</row>
    <row r="465" ht="14.25" customHeight="1">
      <c r="A465" s="60"/>
      <c r="B465" s="60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</row>
    <row r="466" ht="14.25" customHeight="1">
      <c r="A466" s="60"/>
      <c r="B466" s="60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</row>
    <row r="467" ht="14.25" customHeight="1">
      <c r="A467" s="60"/>
      <c r="B467" s="60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</row>
    <row r="468" ht="14.25" customHeight="1">
      <c r="A468" s="60"/>
      <c r="B468" s="60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</row>
    <row r="469" ht="14.25" customHeight="1">
      <c r="A469" s="60"/>
      <c r="B469" s="60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</row>
    <row r="470" ht="14.25" customHeight="1">
      <c r="A470" s="60"/>
      <c r="B470" s="60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</row>
    <row r="471" ht="14.25" customHeight="1">
      <c r="A471" s="60"/>
      <c r="B471" s="60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</row>
    <row r="472" ht="14.25" customHeight="1">
      <c r="A472" s="60"/>
      <c r="B472" s="60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</row>
    <row r="473" ht="14.25" customHeight="1">
      <c r="A473" s="60"/>
      <c r="B473" s="60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</row>
    <row r="474" ht="14.25" customHeight="1">
      <c r="A474" s="60"/>
      <c r="B474" s="60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</row>
    <row r="475" ht="14.25" customHeight="1">
      <c r="A475" s="60"/>
      <c r="B475" s="60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</row>
    <row r="476" ht="14.25" customHeight="1">
      <c r="A476" s="60"/>
      <c r="B476" s="60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</row>
    <row r="477" ht="14.25" customHeight="1">
      <c r="A477" s="60"/>
      <c r="B477" s="60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</row>
    <row r="478" ht="14.25" customHeight="1">
      <c r="A478" s="60"/>
      <c r="B478" s="60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</row>
    <row r="479" ht="14.25" customHeight="1">
      <c r="A479" s="60"/>
      <c r="B479" s="60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</row>
    <row r="480" ht="14.25" customHeight="1">
      <c r="A480" s="60"/>
      <c r="B480" s="60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</row>
    <row r="481" ht="14.25" customHeight="1">
      <c r="A481" s="60"/>
      <c r="B481" s="60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</row>
    <row r="482" ht="14.25" customHeight="1">
      <c r="A482" s="60"/>
      <c r="B482" s="60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</row>
    <row r="483" ht="14.25" customHeight="1">
      <c r="A483" s="60"/>
      <c r="B483" s="60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</row>
    <row r="484" ht="14.25" customHeight="1">
      <c r="A484" s="60"/>
      <c r="B484" s="60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</row>
    <row r="485" ht="14.25" customHeight="1">
      <c r="A485" s="60"/>
      <c r="B485" s="60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</row>
    <row r="486" ht="14.25" customHeight="1">
      <c r="A486" s="60"/>
      <c r="B486" s="60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</row>
    <row r="487" ht="14.25" customHeight="1">
      <c r="A487" s="60"/>
      <c r="B487" s="60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</row>
    <row r="488" ht="14.25" customHeight="1">
      <c r="A488" s="60"/>
      <c r="B488" s="60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</row>
    <row r="489" ht="14.25" customHeight="1">
      <c r="A489" s="60"/>
      <c r="B489" s="60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</row>
    <row r="490" ht="14.25" customHeight="1">
      <c r="A490" s="60"/>
      <c r="B490" s="60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</row>
    <row r="491" ht="14.25" customHeight="1">
      <c r="A491" s="60"/>
      <c r="B491" s="60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</row>
    <row r="492" ht="14.25" customHeight="1">
      <c r="A492" s="60"/>
      <c r="B492" s="60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</row>
    <row r="493" ht="14.25" customHeight="1">
      <c r="A493" s="60"/>
      <c r="B493" s="60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</row>
    <row r="494" ht="14.25" customHeight="1">
      <c r="A494" s="60"/>
      <c r="B494" s="60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</row>
    <row r="495" ht="14.25" customHeight="1">
      <c r="A495" s="60"/>
      <c r="B495" s="60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</row>
    <row r="496" ht="14.25" customHeight="1">
      <c r="A496" s="60"/>
      <c r="B496" s="60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</row>
    <row r="497" ht="14.25" customHeight="1">
      <c r="A497" s="60"/>
      <c r="B497" s="60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</row>
    <row r="498" ht="14.25" customHeight="1">
      <c r="A498" s="60"/>
      <c r="B498" s="60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</row>
    <row r="499" ht="14.25" customHeight="1">
      <c r="A499" s="60"/>
      <c r="B499" s="60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</row>
    <row r="500" ht="14.25" customHeight="1">
      <c r="A500" s="60"/>
      <c r="B500" s="60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</row>
    <row r="501" ht="14.25" customHeight="1">
      <c r="A501" s="60"/>
      <c r="B501" s="60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</row>
    <row r="502" ht="14.25" customHeight="1">
      <c r="A502" s="60"/>
      <c r="B502" s="60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</row>
    <row r="503" ht="14.25" customHeight="1">
      <c r="A503" s="60"/>
      <c r="B503" s="60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</row>
    <row r="504" ht="14.25" customHeight="1">
      <c r="A504" s="60"/>
      <c r="B504" s="60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</row>
    <row r="505" ht="14.25" customHeight="1">
      <c r="A505" s="60"/>
      <c r="B505" s="60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</row>
    <row r="506" ht="14.25" customHeight="1">
      <c r="A506" s="60"/>
      <c r="B506" s="60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</row>
    <row r="507" ht="14.25" customHeight="1">
      <c r="A507" s="60"/>
      <c r="B507" s="60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</row>
    <row r="508" ht="14.25" customHeight="1">
      <c r="A508" s="60"/>
      <c r="B508" s="60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</row>
    <row r="509" ht="14.25" customHeight="1">
      <c r="A509" s="60"/>
      <c r="B509" s="60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</row>
    <row r="510" ht="14.25" customHeight="1">
      <c r="A510" s="60"/>
      <c r="B510" s="60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</row>
    <row r="511" ht="14.25" customHeight="1">
      <c r="A511" s="60"/>
      <c r="B511" s="60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</row>
    <row r="512" ht="14.25" customHeight="1">
      <c r="A512" s="60"/>
      <c r="B512" s="60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</row>
    <row r="513" ht="14.25" customHeight="1">
      <c r="A513" s="60"/>
      <c r="B513" s="60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</row>
    <row r="514" ht="14.25" customHeight="1">
      <c r="A514" s="60"/>
      <c r="B514" s="60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</row>
    <row r="515" ht="14.25" customHeight="1">
      <c r="A515" s="60"/>
      <c r="B515" s="60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</row>
    <row r="516" ht="14.25" customHeight="1">
      <c r="A516" s="60"/>
      <c r="B516" s="60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</row>
    <row r="517" ht="14.25" customHeight="1">
      <c r="A517" s="60"/>
      <c r="B517" s="60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</row>
    <row r="518" ht="14.25" customHeight="1">
      <c r="A518" s="60"/>
      <c r="B518" s="60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</row>
    <row r="519" ht="14.25" customHeight="1">
      <c r="A519" s="60"/>
      <c r="B519" s="60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</row>
    <row r="520" ht="14.25" customHeight="1">
      <c r="A520" s="60"/>
      <c r="B520" s="60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</row>
    <row r="521" ht="14.25" customHeight="1">
      <c r="A521" s="60"/>
      <c r="B521" s="60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</row>
    <row r="522" ht="14.25" customHeight="1">
      <c r="A522" s="60"/>
      <c r="B522" s="60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</row>
    <row r="523" ht="14.25" customHeight="1">
      <c r="A523" s="60"/>
      <c r="B523" s="60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</row>
    <row r="524" ht="14.25" customHeight="1">
      <c r="A524" s="60"/>
      <c r="B524" s="60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</row>
    <row r="525" ht="14.25" customHeight="1">
      <c r="A525" s="60"/>
      <c r="B525" s="60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</row>
    <row r="526" ht="14.25" customHeight="1">
      <c r="A526" s="60"/>
      <c r="B526" s="60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</row>
    <row r="527" ht="14.25" customHeight="1">
      <c r="A527" s="60"/>
      <c r="B527" s="60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</row>
    <row r="528" ht="14.25" customHeight="1">
      <c r="A528" s="60"/>
      <c r="B528" s="60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</row>
    <row r="529" ht="14.25" customHeight="1">
      <c r="A529" s="60"/>
      <c r="B529" s="60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</row>
    <row r="530" ht="14.25" customHeight="1">
      <c r="A530" s="60"/>
      <c r="B530" s="60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</row>
    <row r="531" ht="14.25" customHeight="1">
      <c r="A531" s="60"/>
      <c r="B531" s="60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</row>
    <row r="532" ht="14.25" customHeight="1">
      <c r="A532" s="60"/>
      <c r="B532" s="60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</row>
    <row r="533" ht="14.25" customHeight="1">
      <c r="A533" s="60"/>
      <c r="B533" s="60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</row>
    <row r="534" ht="14.25" customHeight="1">
      <c r="A534" s="60"/>
      <c r="B534" s="60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</row>
    <row r="535" ht="14.25" customHeight="1">
      <c r="A535" s="60"/>
      <c r="B535" s="60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</row>
    <row r="536" ht="14.25" customHeight="1">
      <c r="A536" s="60"/>
      <c r="B536" s="60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</row>
    <row r="537" ht="14.25" customHeight="1">
      <c r="A537" s="60"/>
      <c r="B537" s="60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</row>
    <row r="538" ht="14.25" customHeight="1">
      <c r="A538" s="60"/>
      <c r="B538" s="60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</row>
    <row r="539" ht="14.25" customHeight="1">
      <c r="A539" s="60"/>
      <c r="B539" s="60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</row>
    <row r="540" ht="14.25" customHeight="1">
      <c r="A540" s="60"/>
      <c r="B540" s="60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</row>
    <row r="541" ht="14.25" customHeight="1">
      <c r="A541" s="60"/>
      <c r="B541" s="60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</row>
    <row r="542" ht="14.25" customHeight="1">
      <c r="A542" s="60"/>
      <c r="B542" s="60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</row>
    <row r="543" ht="14.25" customHeight="1">
      <c r="A543" s="60"/>
      <c r="B543" s="60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</row>
    <row r="544" ht="14.25" customHeight="1">
      <c r="A544" s="60"/>
      <c r="B544" s="60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</row>
    <row r="545" ht="14.25" customHeight="1">
      <c r="A545" s="60"/>
      <c r="B545" s="60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</row>
    <row r="546" ht="14.25" customHeight="1">
      <c r="A546" s="60"/>
      <c r="B546" s="60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</row>
    <row r="547" ht="14.25" customHeight="1">
      <c r="A547" s="60"/>
      <c r="B547" s="60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</row>
    <row r="548" ht="14.25" customHeight="1">
      <c r="A548" s="60"/>
      <c r="B548" s="60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</row>
    <row r="549" ht="14.25" customHeight="1">
      <c r="A549" s="60"/>
      <c r="B549" s="60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</row>
    <row r="550" ht="14.25" customHeight="1">
      <c r="A550" s="60"/>
      <c r="B550" s="60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</row>
    <row r="551" ht="14.25" customHeight="1">
      <c r="A551" s="60"/>
      <c r="B551" s="60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</row>
    <row r="552" ht="14.25" customHeight="1">
      <c r="A552" s="60"/>
      <c r="B552" s="60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</row>
    <row r="553" ht="14.25" customHeight="1">
      <c r="A553" s="60"/>
      <c r="B553" s="60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</row>
    <row r="554" ht="14.25" customHeight="1">
      <c r="A554" s="60"/>
      <c r="B554" s="60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</row>
    <row r="555" ht="14.25" customHeight="1">
      <c r="A555" s="60"/>
      <c r="B555" s="60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</row>
    <row r="556" ht="14.25" customHeight="1">
      <c r="A556" s="60"/>
      <c r="B556" s="60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</row>
    <row r="557" ht="14.25" customHeight="1">
      <c r="A557" s="60"/>
      <c r="B557" s="60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</row>
    <row r="558" ht="14.25" customHeight="1">
      <c r="A558" s="60"/>
      <c r="B558" s="60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</row>
    <row r="559" ht="14.25" customHeight="1">
      <c r="A559" s="60"/>
      <c r="B559" s="60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</row>
    <row r="560" ht="14.25" customHeight="1">
      <c r="A560" s="60"/>
      <c r="B560" s="60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</row>
    <row r="561" ht="14.25" customHeight="1">
      <c r="A561" s="60"/>
      <c r="B561" s="60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</row>
    <row r="562" ht="14.25" customHeight="1">
      <c r="A562" s="60"/>
      <c r="B562" s="60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</row>
    <row r="563" ht="14.25" customHeight="1">
      <c r="A563" s="60"/>
      <c r="B563" s="60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</row>
    <row r="564" ht="14.25" customHeight="1">
      <c r="A564" s="60"/>
      <c r="B564" s="60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</row>
    <row r="565" ht="14.25" customHeight="1">
      <c r="A565" s="60"/>
      <c r="B565" s="60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</row>
    <row r="566" ht="14.25" customHeight="1">
      <c r="A566" s="60"/>
      <c r="B566" s="60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</row>
    <row r="567" ht="14.25" customHeight="1">
      <c r="A567" s="60"/>
      <c r="B567" s="60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</row>
    <row r="568" ht="14.25" customHeight="1">
      <c r="A568" s="60"/>
      <c r="B568" s="60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</row>
    <row r="569" ht="14.25" customHeight="1">
      <c r="A569" s="60"/>
      <c r="B569" s="60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</row>
    <row r="570" ht="14.25" customHeight="1">
      <c r="A570" s="60"/>
      <c r="B570" s="60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</row>
    <row r="571" ht="14.25" customHeight="1">
      <c r="A571" s="60"/>
      <c r="B571" s="60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</row>
    <row r="572" ht="14.25" customHeight="1">
      <c r="A572" s="60"/>
      <c r="B572" s="60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</row>
    <row r="573" ht="14.25" customHeight="1">
      <c r="A573" s="60"/>
      <c r="B573" s="60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</row>
    <row r="574" ht="14.25" customHeight="1">
      <c r="A574" s="60"/>
      <c r="B574" s="60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</row>
    <row r="575" ht="14.25" customHeight="1">
      <c r="A575" s="60"/>
      <c r="B575" s="60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</row>
    <row r="576" ht="14.25" customHeight="1">
      <c r="A576" s="60"/>
      <c r="B576" s="60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</row>
    <row r="577" ht="14.25" customHeight="1">
      <c r="A577" s="60"/>
      <c r="B577" s="60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</row>
    <row r="578" ht="14.25" customHeight="1">
      <c r="A578" s="60"/>
      <c r="B578" s="60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</row>
    <row r="579" ht="14.25" customHeight="1">
      <c r="A579" s="60"/>
      <c r="B579" s="60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</row>
    <row r="580" ht="14.25" customHeight="1">
      <c r="A580" s="60"/>
      <c r="B580" s="60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</row>
    <row r="581" ht="14.25" customHeight="1">
      <c r="A581" s="60"/>
      <c r="B581" s="60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</row>
    <row r="582" ht="14.25" customHeight="1">
      <c r="A582" s="60"/>
      <c r="B582" s="60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</row>
    <row r="583" ht="14.25" customHeight="1">
      <c r="A583" s="60"/>
      <c r="B583" s="60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</row>
    <row r="584" ht="14.25" customHeight="1">
      <c r="A584" s="60"/>
      <c r="B584" s="60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</row>
    <row r="585" ht="14.25" customHeight="1">
      <c r="A585" s="60"/>
      <c r="B585" s="60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</row>
    <row r="586" ht="14.25" customHeight="1">
      <c r="A586" s="60"/>
      <c r="B586" s="60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</row>
    <row r="587" ht="14.25" customHeight="1">
      <c r="A587" s="60"/>
      <c r="B587" s="60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</row>
    <row r="588" ht="14.25" customHeight="1">
      <c r="A588" s="60"/>
      <c r="B588" s="60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</row>
    <row r="589" ht="14.25" customHeight="1">
      <c r="A589" s="60"/>
      <c r="B589" s="60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</row>
    <row r="590" ht="14.25" customHeight="1">
      <c r="A590" s="60"/>
      <c r="B590" s="60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</row>
    <row r="591" ht="14.25" customHeight="1">
      <c r="A591" s="60"/>
      <c r="B591" s="60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</row>
    <row r="592" ht="14.25" customHeight="1">
      <c r="A592" s="60"/>
      <c r="B592" s="60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</row>
    <row r="593" ht="14.25" customHeight="1">
      <c r="A593" s="60"/>
      <c r="B593" s="60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</row>
    <row r="594" ht="14.25" customHeight="1">
      <c r="A594" s="60"/>
      <c r="B594" s="60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</row>
    <row r="595" ht="14.25" customHeight="1">
      <c r="A595" s="60"/>
      <c r="B595" s="60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</row>
    <row r="596" ht="14.25" customHeight="1">
      <c r="A596" s="60"/>
      <c r="B596" s="60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</row>
    <row r="597" ht="14.25" customHeight="1">
      <c r="A597" s="60"/>
      <c r="B597" s="60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</row>
    <row r="598" ht="14.25" customHeight="1">
      <c r="A598" s="60"/>
      <c r="B598" s="60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</row>
    <row r="599" ht="14.25" customHeight="1">
      <c r="A599" s="60"/>
      <c r="B599" s="60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</row>
    <row r="600" ht="14.25" customHeight="1">
      <c r="A600" s="60"/>
      <c r="B600" s="60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</row>
    <row r="601" ht="14.25" customHeight="1">
      <c r="A601" s="60"/>
      <c r="B601" s="60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</row>
    <row r="602" ht="14.25" customHeight="1">
      <c r="A602" s="60"/>
      <c r="B602" s="60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</row>
    <row r="603" ht="14.25" customHeight="1">
      <c r="A603" s="60"/>
      <c r="B603" s="60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</row>
    <row r="604" ht="14.25" customHeight="1">
      <c r="A604" s="60"/>
      <c r="B604" s="60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</row>
    <row r="605" ht="14.25" customHeight="1">
      <c r="A605" s="60"/>
      <c r="B605" s="60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</row>
    <row r="606" ht="14.25" customHeight="1">
      <c r="A606" s="60"/>
      <c r="B606" s="60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</row>
    <row r="607" ht="14.25" customHeight="1">
      <c r="A607" s="60"/>
      <c r="B607" s="60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</row>
    <row r="608" ht="14.25" customHeight="1">
      <c r="A608" s="60"/>
      <c r="B608" s="60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</row>
    <row r="609" ht="14.25" customHeight="1">
      <c r="A609" s="60"/>
      <c r="B609" s="60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</row>
    <row r="610" ht="14.25" customHeight="1">
      <c r="A610" s="60"/>
      <c r="B610" s="60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</row>
    <row r="611" ht="14.25" customHeight="1">
      <c r="A611" s="60"/>
      <c r="B611" s="60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</row>
    <row r="612" ht="14.25" customHeight="1">
      <c r="A612" s="60"/>
      <c r="B612" s="60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</row>
    <row r="613" ht="14.25" customHeight="1">
      <c r="A613" s="60"/>
      <c r="B613" s="60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</row>
    <row r="614" ht="14.25" customHeight="1">
      <c r="A614" s="60"/>
      <c r="B614" s="60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</row>
    <row r="615" ht="14.25" customHeight="1">
      <c r="A615" s="60"/>
      <c r="B615" s="60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</row>
    <row r="616" ht="14.25" customHeight="1">
      <c r="A616" s="60"/>
      <c r="B616" s="60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</row>
    <row r="617" ht="14.25" customHeight="1">
      <c r="A617" s="60"/>
      <c r="B617" s="60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</row>
    <row r="618" ht="14.25" customHeight="1">
      <c r="A618" s="60"/>
      <c r="B618" s="60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</row>
    <row r="619" ht="14.25" customHeight="1">
      <c r="A619" s="60"/>
      <c r="B619" s="60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</row>
    <row r="620" ht="14.25" customHeight="1">
      <c r="A620" s="60"/>
      <c r="B620" s="60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</row>
    <row r="621" ht="14.25" customHeight="1">
      <c r="A621" s="60"/>
      <c r="B621" s="60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</row>
    <row r="622" ht="14.25" customHeight="1">
      <c r="A622" s="60"/>
      <c r="B622" s="60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</row>
    <row r="623" ht="14.25" customHeight="1">
      <c r="A623" s="60"/>
      <c r="B623" s="60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</row>
    <row r="624" ht="14.25" customHeight="1">
      <c r="A624" s="60"/>
      <c r="B624" s="60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</row>
    <row r="625" ht="14.25" customHeight="1">
      <c r="A625" s="60"/>
      <c r="B625" s="60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</row>
    <row r="626" ht="14.25" customHeight="1">
      <c r="A626" s="60"/>
      <c r="B626" s="60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</row>
    <row r="627" ht="14.25" customHeight="1">
      <c r="A627" s="60"/>
      <c r="B627" s="60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</row>
    <row r="628" ht="14.25" customHeight="1">
      <c r="A628" s="60"/>
      <c r="B628" s="60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</row>
    <row r="629" ht="14.25" customHeight="1">
      <c r="A629" s="60"/>
      <c r="B629" s="60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</row>
    <row r="630" ht="14.25" customHeight="1">
      <c r="A630" s="60"/>
      <c r="B630" s="60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</row>
    <row r="631" ht="14.25" customHeight="1">
      <c r="A631" s="60"/>
      <c r="B631" s="60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</row>
    <row r="632" ht="14.25" customHeight="1">
      <c r="A632" s="60"/>
      <c r="B632" s="60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</row>
    <row r="633" ht="14.25" customHeight="1">
      <c r="A633" s="60"/>
      <c r="B633" s="60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</row>
    <row r="634" ht="14.25" customHeight="1">
      <c r="A634" s="60"/>
      <c r="B634" s="60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</row>
    <row r="635" ht="14.25" customHeight="1">
      <c r="A635" s="60"/>
      <c r="B635" s="60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</row>
    <row r="636" ht="14.25" customHeight="1">
      <c r="A636" s="60"/>
      <c r="B636" s="60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</row>
    <row r="637" ht="14.25" customHeight="1">
      <c r="A637" s="60"/>
      <c r="B637" s="60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</row>
    <row r="638" ht="14.25" customHeight="1">
      <c r="A638" s="60"/>
      <c r="B638" s="60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</row>
    <row r="639" ht="14.25" customHeight="1">
      <c r="A639" s="60"/>
      <c r="B639" s="60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</row>
    <row r="640" ht="14.25" customHeight="1">
      <c r="A640" s="60"/>
      <c r="B640" s="60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</row>
    <row r="641" ht="14.25" customHeight="1">
      <c r="A641" s="60"/>
      <c r="B641" s="60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</row>
    <row r="642" ht="14.25" customHeight="1">
      <c r="A642" s="60"/>
      <c r="B642" s="60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</row>
    <row r="643" ht="14.25" customHeight="1">
      <c r="A643" s="60"/>
      <c r="B643" s="60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</row>
    <row r="644" ht="14.25" customHeight="1">
      <c r="A644" s="60"/>
      <c r="B644" s="60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</row>
    <row r="645" ht="14.25" customHeight="1">
      <c r="A645" s="60"/>
      <c r="B645" s="60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</row>
    <row r="646" ht="14.25" customHeight="1">
      <c r="A646" s="60"/>
      <c r="B646" s="60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</row>
    <row r="647" ht="14.25" customHeight="1">
      <c r="A647" s="60"/>
      <c r="B647" s="60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</row>
    <row r="648" ht="14.25" customHeight="1">
      <c r="A648" s="60"/>
      <c r="B648" s="60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</row>
    <row r="649" ht="14.25" customHeight="1">
      <c r="A649" s="60"/>
      <c r="B649" s="60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</row>
    <row r="650" ht="14.25" customHeight="1">
      <c r="A650" s="60"/>
      <c r="B650" s="60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</row>
    <row r="651" ht="14.25" customHeight="1">
      <c r="A651" s="60"/>
      <c r="B651" s="60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</row>
    <row r="652" ht="14.25" customHeight="1">
      <c r="A652" s="60"/>
      <c r="B652" s="60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</row>
    <row r="653" ht="14.25" customHeight="1">
      <c r="A653" s="60"/>
      <c r="B653" s="60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</row>
    <row r="654" ht="14.25" customHeight="1">
      <c r="A654" s="60"/>
      <c r="B654" s="60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</row>
    <row r="655" ht="14.25" customHeight="1">
      <c r="A655" s="60"/>
      <c r="B655" s="60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</row>
    <row r="656" ht="14.25" customHeight="1">
      <c r="A656" s="60"/>
      <c r="B656" s="60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</row>
    <row r="657" ht="14.25" customHeight="1">
      <c r="A657" s="60"/>
      <c r="B657" s="60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</row>
    <row r="658" ht="14.25" customHeight="1">
      <c r="A658" s="60"/>
      <c r="B658" s="60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</row>
    <row r="659" ht="14.25" customHeight="1">
      <c r="A659" s="60"/>
      <c r="B659" s="60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</row>
    <row r="660" ht="14.25" customHeight="1">
      <c r="A660" s="60"/>
      <c r="B660" s="60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</row>
    <row r="661" ht="14.25" customHeight="1">
      <c r="A661" s="60"/>
      <c r="B661" s="60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</row>
    <row r="662" ht="14.25" customHeight="1">
      <c r="A662" s="60"/>
      <c r="B662" s="60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</row>
    <row r="663" ht="14.25" customHeight="1">
      <c r="A663" s="60"/>
      <c r="B663" s="60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</row>
    <row r="664" ht="14.25" customHeight="1">
      <c r="A664" s="60"/>
      <c r="B664" s="60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</row>
    <row r="665" ht="14.25" customHeight="1">
      <c r="A665" s="60"/>
      <c r="B665" s="60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</row>
    <row r="666" ht="14.25" customHeight="1">
      <c r="A666" s="60"/>
      <c r="B666" s="60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</row>
    <row r="667" ht="14.25" customHeight="1">
      <c r="A667" s="60"/>
      <c r="B667" s="60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</row>
    <row r="668" ht="14.25" customHeight="1">
      <c r="A668" s="60"/>
      <c r="B668" s="60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</row>
    <row r="669" ht="14.25" customHeight="1">
      <c r="A669" s="60"/>
      <c r="B669" s="60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</row>
    <row r="670" ht="14.25" customHeight="1">
      <c r="A670" s="60"/>
      <c r="B670" s="60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</row>
    <row r="671" ht="14.25" customHeight="1">
      <c r="A671" s="60"/>
      <c r="B671" s="60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</row>
    <row r="672" ht="14.25" customHeight="1">
      <c r="A672" s="60"/>
      <c r="B672" s="60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</row>
    <row r="673" ht="14.25" customHeight="1">
      <c r="A673" s="60"/>
      <c r="B673" s="60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</row>
    <row r="674" ht="14.25" customHeight="1">
      <c r="A674" s="60"/>
      <c r="B674" s="60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</row>
    <row r="675" ht="14.25" customHeight="1">
      <c r="A675" s="60"/>
      <c r="B675" s="60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</row>
    <row r="676" ht="14.25" customHeight="1">
      <c r="A676" s="60"/>
      <c r="B676" s="60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</row>
    <row r="677" ht="14.25" customHeight="1">
      <c r="A677" s="60"/>
      <c r="B677" s="60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</row>
    <row r="678" ht="14.25" customHeight="1">
      <c r="A678" s="60"/>
      <c r="B678" s="60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</row>
    <row r="679" ht="14.25" customHeight="1">
      <c r="A679" s="60"/>
      <c r="B679" s="60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</row>
    <row r="680" ht="14.25" customHeight="1">
      <c r="A680" s="60"/>
      <c r="B680" s="60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</row>
    <row r="681" ht="14.25" customHeight="1">
      <c r="A681" s="60"/>
      <c r="B681" s="60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</row>
    <row r="682" ht="14.25" customHeight="1">
      <c r="A682" s="60"/>
      <c r="B682" s="60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</row>
    <row r="683" ht="14.25" customHeight="1">
      <c r="A683" s="60"/>
      <c r="B683" s="60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</row>
    <row r="684" ht="14.25" customHeight="1">
      <c r="A684" s="60"/>
      <c r="B684" s="60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</row>
    <row r="685" ht="14.25" customHeight="1">
      <c r="A685" s="60"/>
      <c r="B685" s="60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</row>
    <row r="686" ht="14.25" customHeight="1">
      <c r="A686" s="60"/>
      <c r="B686" s="60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</row>
    <row r="687" ht="14.25" customHeight="1">
      <c r="A687" s="60"/>
      <c r="B687" s="60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</row>
    <row r="688" ht="14.25" customHeight="1">
      <c r="A688" s="60"/>
      <c r="B688" s="60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</row>
    <row r="689" ht="14.25" customHeight="1">
      <c r="A689" s="60"/>
      <c r="B689" s="60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</row>
    <row r="690" ht="14.25" customHeight="1">
      <c r="A690" s="60"/>
      <c r="B690" s="60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</row>
    <row r="691" ht="14.25" customHeight="1">
      <c r="A691" s="60"/>
      <c r="B691" s="60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</row>
    <row r="692" ht="14.25" customHeight="1">
      <c r="A692" s="60"/>
      <c r="B692" s="60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</row>
    <row r="693" ht="14.25" customHeight="1">
      <c r="A693" s="60"/>
      <c r="B693" s="60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</row>
    <row r="694" ht="14.25" customHeight="1">
      <c r="A694" s="60"/>
      <c r="B694" s="60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</row>
    <row r="695" ht="14.25" customHeight="1">
      <c r="A695" s="60"/>
      <c r="B695" s="60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</row>
    <row r="696" ht="14.25" customHeight="1">
      <c r="A696" s="60"/>
      <c r="B696" s="60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</row>
    <row r="697" ht="14.25" customHeight="1">
      <c r="A697" s="60"/>
      <c r="B697" s="60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</row>
    <row r="698" ht="14.25" customHeight="1">
      <c r="A698" s="60"/>
      <c r="B698" s="60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</row>
    <row r="699" ht="14.25" customHeight="1">
      <c r="A699" s="60"/>
      <c r="B699" s="60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</row>
    <row r="700" ht="14.25" customHeight="1">
      <c r="A700" s="60"/>
      <c r="B700" s="60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</row>
    <row r="701" ht="14.25" customHeight="1">
      <c r="A701" s="60"/>
      <c r="B701" s="60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</row>
    <row r="702" ht="14.25" customHeight="1">
      <c r="A702" s="60"/>
      <c r="B702" s="60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</row>
    <row r="703" ht="14.25" customHeight="1">
      <c r="A703" s="60"/>
      <c r="B703" s="60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</row>
    <row r="704" ht="14.25" customHeight="1">
      <c r="A704" s="60"/>
      <c r="B704" s="60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</row>
    <row r="705" ht="14.25" customHeight="1">
      <c r="A705" s="60"/>
      <c r="B705" s="60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</row>
    <row r="706" ht="14.25" customHeight="1">
      <c r="A706" s="60"/>
      <c r="B706" s="60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</row>
    <row r="707" ht="14.25" customHeight="1">
      <c r="A707" s="60"/>
      <c r="B707" s="60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</row>
    <row r="708" ht="14.25" customHeight="1">
      <c r="A708" s="60"/>
      <c r="B708" s="60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</row>
    <row r="709" ht="14.25" customHeight="1">
      <c r="A709" s="60"/>
      <c r="B709" s="60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</row>
    <row r="710" ht="14.25" customHeight="1">
      <c r="A710" s="60"/>
      <c r="B710" s="60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</row>
    <row r="711" ht="14.25" customHeight="1">
      <c r="A711" s="60"/>
      <c r="B711" s="60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</row>
    <row r="712" ht="14.25" customHeight="1">
      <c r="A712" s="60"/>
      <c r="B712" s="60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</row>
    <row r="713" ht="14.25" customHeight="1">
      <c r="A713" s="60"/>
      <c r="B713" s="60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</row>
    <row r="714" ht="14.25" customHeight="1">
      <c r="A714" s="60"/>
      <c r="B714" s="60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</row>
    <row r="715" ht="14.25" customHeight="1">
      <c r="A715" s="60"/>
      <c r="B715" s="60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</row>
    <row r="716" ht="14.25" customHeight="1">
      <c r="A716" s="60"/>
      <c r="B716" s="60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</row>
    <row r="717" ht="14.25" customHeight="1">
      <c r="A717" s="60"/>
      <c r="B717" s="60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</row>
    <row r="718" ht="14.25" customHeight="1">
      <c r="A718" s="60"/>
      <c r="B718" s="60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</row>
    <row r="719" ht="14.25" customHeight="1">
      <c r="A719" s="60"/>
      <c r="B719" s="60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</row>
    <row r="720" ht="14.25" customHeight="1">
      <c r="A720" s="60"/>
      <c r="B720" s="60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</row>
    <row r="721" ht="14.25" customHeight="1">
      <c r="A721" s="60"/>
      <c r="B721" s="60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</row>
    <row r="722" ht="14.25" customHeight="1">
      <c r="A722" s="60"/>
      <c r="B722" s="60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</row>
    <row r="723" ht="14.25" customHeight="1">
      <c r="A723" s="60"/>
      <c r="B723" s="60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</row>
    <row r="724" ht="14.25" customHeight="1">
      <c r="A724" s="60"/>
      <c r="B724" s="60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</row>
    <row r="725" ht="14.25" customHeight="1">
      <c r="A725" s="60"/>
      <c r="B725" s="60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</row>
    <row r="726" ht="14.25" customHeight="1">
      <c r="A726" s="60"/>
      <c r="B726" s="60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</row>
    <row r="727" ht="14.25" customHeight="1">
      <c r="A727" s="60"/>
      <c r="B727" s="60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</row>
    <row r="728" ht="14.25" customHeight="1">
      <c r="A728" s="60"/>
      <c r="B728" s="60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</row>
    <row r="729" ht="14.25" customHeight="1">
      <c r="A729" s="60"/>
      <c r="B729" s="60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</row>
    <row r="730" ht="14.25" customHeight="1">
      <c r="A730" s="60"/>
      <c r="B730" s="60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</row>
    <row r="731" ht="14.25" customHeight="1">
      <c r="A731" s="60"/>
      <c r="B731" s="60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</row>
    <row r="732" ht="14.25" customHeight="1">
      <c r="A732" s="60"/>
      <c r="B732" s="60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</row>
    <row r="733" ht="14.25" customHeight="1">
      <c r="A733" s="60"/>
      <c r="B733" s="60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</row>
    <row r="734" ht="14.25" customHeight="1">
      <c r="A734" s="60"/>
      <c r="B734" s="60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</row>
    <row r="735" ht="14.25" customHeight="1">
      <c r="A735" s="60"/>
      <c r="B735" s="60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</row>
    <row r="736" ht="14.25" customHeight="1">
      <c r="A736" s="60"/>
      <c r="B736" s="60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</row>
    <row r="737" ht="14.25" customHeight="1">
      <c r="A737" s="60"/>
      <c r="B737" s="60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</row>
    <row r="738" ht="14.25" customHeight="1">
      <c r="A738" s="60"/>
      <c r="B738" s="60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</row>
    <row r="739" ht="14.25" customHeight="1">
      <c r="A739" s="60"/>
      <c r="B739" s="60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</row>
    <row r="740" ht="14.25" customHeight="1">
      <c r="A740" s="60"/>
      <c r="B740" s="60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</row>
    <row r="741" ht="14.25" customHeight="1">
      <c r="A741" s="60"/>
      <c r="B741" s="60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</row>
    <row r="742" ht="14.25" customHeight="1">
      <c r="A742" s="60"/>
      <c r="B742" s="60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</row>
    <row r="743" ht="14.25" customHeight="1">
      <c r="A743" s="60"/>
      <c r="B743" s="60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</row>
    <row r="744" ht="14.25" customHeight="1">
      <c r="A744" s="60"/>
      <c r="B744" s="60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</row>
    <row r="745" ht="14.25" customHeight="1">
      <c r="A745" s="60"/>
      <c r="B745" s="60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</row>
    <row r="746" ht="14.25" customHeight="1">
      <c r="A746" s="60"/>
      <c r="B746" s="60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</row>
    <row r="747" ht="14.25" customHeight="1">
      <c r="A747" s="60"/>
      <c r="B747" s="60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</row>
    <row r="748" ht="14.25" customHeight="1">
      <c r="A748" s="60"/>
      <c r="B748" s="60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</row>
    <row r="749" ht="14.25" customHeight="1">
      <c r="A749" s="60"/>
      <c r="B749" s="60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</row>
    <row r="750" ht="14.25" customHeight="1">
      <c r="A750" s="60"/>
      <c r="B750" s="60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</row>
    <row r="751" ht="14.25" customHeight="1">
      <c r="A751" s="60"/>
      <c r="B751" s="60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</row>
    <row r="752" ht="14.25" customHeight="1">
      <c r="A752" s="60"/>
      <c r="B752" s="60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</row>
    <row r="753" ht="14.25" customHeight="1">
      <c r="A753" s="60"/>
      <c r="B753" s="60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</row>
    <row r="754" ht="14.25" customHeight="1">
      <c r="A754" s="60"/>
      <c r="B754" s="60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</row>
    <row r="755" ht="14.25" customHeight="1">
      <c r="A755" s="60"/>
      <c r="B755" s="60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</row>
    <row r="756" ht="14.25" customHeight="1">
      <c r="A756" s="60"/>
      <c r="B756" s="60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</row>
    <row r="757" ht="14.25" customHeight="1">
      <c r="A757" s="60"/>
      <c r="B757" s="60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</row>
    <row r="758" ht="14.25" customHeight="1">
      <c r="A758" s="60"/>
      <c r="B758" s="60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</row>
    <row r="759" ht="14.25" customHeight="1">
      <c r="A759" s="60"/>
      <c r="B759" s="60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</row>
    <row r="760" ht="14.25" customHeight="1">
      <c r="A760" s="60"/>
      <c r="B760" s="60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</row>
    <row r="761" ht="14.25" customHeight="1">
      <c r="A761" s="60"/>
      <c r="B761" s="60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</row>
    <row r="762" ht="14.25" customHeight="1">
      <c r="A762" s="60"/>
      <c r="B762" s="60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</row>
    <row r="763" ht="14.25" customHeight="1">
      <c r="A763" s="60"/>
      <c r="B763" s="60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</row>
    <row r="764" ht="14.25" customHeight="1">
      <c r="A764" s="60"/>
      <c r="B764" s="60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</row>
    <row r="765" ht="14.25" customHeight="1">
      <c r="A765" s="60"/>
      <c r="B765" s="60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</row>
    <row r="766" ht="14.25" customHeight="1">
      <c r="A766" s="60"/>
      <c r="B766" s="60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</row>
    <row r="767" ht="14.25" customHeight="1">
      <c r="A767" s="60"/>
      <c r="B767" s="60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</row>
    <row r="768" ht="14.25" customHeight="1">
      <c r="A768" s="60"/>
      <c r="B768" s="60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</row>
    <row r="769" ht="14.25" customHeight="1">
      <c r="A769" s="60"/>
      <c r="B769" s="60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</row>
    <row r="770" ht="14.25" customHeight="1">
      <c r="A770" s="60"/>
      <c r="B770" s="60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</row>
    <row r="771" ht="14.25" customHeight="1">
      <c r="A771" s="60"/>
      <c r="B771" s="60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</row>
    <row r="772" ht="14.25" customHeight="1">
      <c r="A772" s="60"/>
      <c r="B772" s="60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</row>
    <row r="773" ht="14.25" customHeight="1">
      <c r="A773" s="60"/>
      <c r="B773" s="60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</row>
    <row r="774" ht="14.25" customHeight="1">
      <c r="A774" s="60"/>
      <c r="B774" s="60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</row>
    <row r="775" ht="14.25" customHeight="1">
      <c r="A775" s="60"/>
      <c r="B775" s="60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</row>
    <row r="776" ht="14.25" customHeight="1">
      <c r="A776" s="60"/>
      <c r="B776" s="60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</row>
    <row r="777" ht="14.25" customHeight="1">
      <c r="A777" s="60"/>
      <c r="B777" s="60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</row>
    <row r="778" ht="14.25" customHeight="1">
      <c r="A778" s="60"/>
      <c r="B778" s="60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</row>
    <row r="779" ht="14.25" customHeight="1">
      <c r="A779" s="60"/>
      <c r="B779" s="60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</row>
    <row r="780" ht="14.25" customHeight="1">
      <c r="A780" s="60"/>
      <c r="B780" s="60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</row>
    <row r="781" ht="14.25" customHeight="1">
      <c r="A781" s="60"/>
      <c r="B781" s="60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</row>
    <row r="782" ht="14.25" customHeight="1">
      <c r="A782" s="60"/>
      <c r="B782" s="60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</row>
    <row r="783" ht="14.25" customHeight="1">
      <c r="A783" s="60"/>
      <c r="B783" s="60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</row>
    <row r="784" ht="14.25" customHeight="1">
      <c r="A784" s="60"/>
      <c r="B784" s="60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</row>
    <row r="785" ht="14.25" customHeight="1">
      <c r="A785" s="60"/>
      <c r="B785" s="60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</row>
    <row r="786" ht="14.25" customHeight="1">
      <c r="A786" s="60"/>
      <c r="B786" s="60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</row>
    <row r="787" ht="14.25" customHeight="1">
      <c r="A787" s="60"/>
      <c r="B787" s="60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</row>
    <row r="788" ht="14.25" customHeight="1">
      <c r="A788" s="60"/>
      <c r="B788" s="60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</row>
    <row r="789" ht="14.25" customHeight="1">
      <c r="A789" s="60"/>
      <c r="B789" s="60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</row>
    <row r="790" ht="14.25" customHeight="1">
      <c r="A790" s="60"/>
      <c r="B790" s="60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</row>
    <row r="791" ht="14.25" customHeight="1">
      <c r="A791" s="60"/>
      <c r="B791" s="60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</row>
    <row r="792" ht="14.25" customHeight="1">
      <c r="A792" s="60"/>
      <c r="B792" s="60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</row>
    <row r="793" ht="14.25" customHeight="1">
      <c r="A793" s="60"/>
      <c r="B793" s="60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</row>
    <row r="794" ht="14.25" customHeight="1">
      <c r="A794" s="60"/>
      <c r="B794" s="60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</row>
    <row r="795" ht="14.25" customHeight="1">
      <c r="A795" s="60"/>
      <c r="B795" s="60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</row>
    <row r="796" ht="14.25" customHeight="1">
      <c r="A796" s="60"/>
      <c r="B796" s="60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</row>
    <row r="797" ht="14.25" customHeight="1">
      <c r="A797" s="60"/>
      <c r="B797" s="60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</row>
    <row r="798" ht="14.25" customHeight="1">
      <c r="A798" s="60"/>
      <c r="B798" s="60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</row>
    <row r="799" ht="14.25" customHeight="1">
      <c r="A799" s="60"/>
      <c r="B799" s="60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</row>
    <row r="800" ht="14.25" customHeight="1">
      <c r="A800" s="60"/>
      <c r="B800" s="60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</row>
    <row r="801" ht="14.25" customHeight="1">
      <c r="A801" s="60"/>
      <c r="B801" s="60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</row>
    <row r="802" ht="14.25" customHeight="1">
      <c r="A802" s="60"/>
      <c r="B802" s="60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</row>
    <row r="803" ht="14.25" customHeight="1">
      <c r="A803" s="60"/>
      <c r="B803" s="60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</row>
    <row r="804" ht="14.25" customHeight="1">
      <c r="A804" s="60"/>
      <c r="B804" s="60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</row>
    <row r="805" ht="14.25" customHeight="1">
      <c r="A805" s="60"/>
      <c r="B805" s="60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</row>
    <row r="806" ht="14.25" customHeight="1">
      <c r="A806" s="60"/>
      <c r="B806" s="60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</row>
    <row r="807" ht="14.25" customHeight="1">
      <c r="A807" s="60"/>
      <c r="B807" s="60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</row>
    <row r="808" ht="14.25" customHeight="1">
      <c r="A808" s="60"/>
      <c r="B808" s="60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</row>
    <row r="809" ht="14.25" customHeight="1">
      <c r="A809" s="60"/>
      <c r="B809" s="60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</row>
    <row r="810" ht="14.25" customHeight="1">
      <c r="A810" s="60"/>
      <c r="B810" s="60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</row>
    <row r="811" ht="14.25" customHeight="1">
      <c r="A811" s="60"/>
      <c r="B811" s="60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</row>
    <row r="812" ht="14.25" customHeight="1">
      <c r="A812" s="60"/>
      <c r="B812" s="60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</row>
    <row r="813" ht="14.25" customHeight="1">
      <c r="A813" s="60"/>
      <c r="B813" s="60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</row>
    <row r="814" ht="14.25" customHeight="1">
      <c r="A814" s="60"/>
      <c r="B814" s="60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</row>
    <row r="815" ht="14.25" customHeight="1">
      <c r="A815" s="60"/>
      <c r="B815" s="60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</row>
    <row r="816" ht="14.25" customHeight="1">
      <c r="A816" s="60"/>
      <c r="B816" s="60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</row>
    <row r="817" ht="14.25" customHeight="1">
      <c r="A817" s="60"/>
      <c r="B817" s="60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</row>
    <row r="818" ht="14.25" customHeight="1">
      <c r="A818" s="60"/>
      <c r="B818" s="60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</row>
    <row r="819" ht="14.25" customHeight="1">
      <c r="A819" s="60"/>
      <c r="B819" s="60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</row>
    <row r="820" ht="14.25" customHeight="1">
      <c r="A820" s="60"/>
      <c r="B820" s="60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</row>
    <row r="821" ht="14.25" customHeight="1">
      <c r="A821" s="60"/>
      <c r="B821" s="60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</row>
    <row r="822" ht="14.25" customHeight="1">
      <c r="A822" s="60"/>
      <c r="B822" s="60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</row>
    <row r="823" ht="14.25" customHeight="1">
      <c r="A823" s="60"/>
      <c r="B823" s="60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</row>
    <row r="824" ht="14.25" customHeight="1">
      <c r="A824" s="60"/>
      <c r="B824" s="60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</row>
    <row r="825" ht="14.25" customHeight="1">
      <c r="A825" s="60"/>
      <c r="B825" s="60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</row>
    <row r="826" ht="14.25" customHeight="1">
      <c r="A826" s="60"/>
      <c r="B826" s="60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</row>
    <row r="827" ht="14.25" customHeight="1">
      <c r="A827" s="60"/>
      <c r="B827" s="60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</row>
    <row r="828" ht="14.25" customHeight="1">
      <c r="A828" s="60"/>
      <c r="B828" s="60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</row>
    <row r="829" ht="14.25" customHeight="1">
      <c r="A829" s="60"/>
      <c r="B829" s="60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</row>
    <row r="830" ht="14.25" customHeight="1">
      <c r="A830" s="60"/>
      <c r="B830" s="60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</row>
    <row r="831" ht="14.25" customHeight="1">
      <c r="A831" s="60"/>
      <c r="B831" s="60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</row>
    <row r="832" ht="14.25" customHeight="1">
      <c r="A832" s="60"/>
      <c r="B832" s="60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</row>
    <row r="833" ht="14.25" customHeight="1">
      <c r="A833" s="60"/>
      <c r="B833" s="60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</row>
    <row r="834" ht="14.25" customHeight="1">
      <c r="A834" s="60"/>
      <c r="B834" s="60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</row>
    <row r="835" ht="14.25" customHeight="1">
      <c r="A835" s="60"/>
      <c r="B835" s="60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</row>
    <row r="836" ht="14.25" customHeight="1">
      <c r="A836" s="60"/>
      <c r="B836" s="60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</row>
    <row r="837" ht="14.25" customHeight="1">
      <c r="A837" s="60"/>
      <c r="B837" s="60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</row>
    <row r="838" ht="14.25" customHeight="1">
      <c r="A838" s="60"/>
      <c r="B838" s="60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</row>
    <row r="839" ht="14.25" customHeight="1">
      <c r="A839" s="60"/>
      <c r="B839" s="60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</row>
    <row r="840" ht="14.25" customHeight="1">
      <c r="A840" s="60"/>
      <c r="B840" s="60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</row>
    <row r="841" ht="14.25" customHeight="1">
      <c r="A841" s="60"/>
      <c r="B841" s="60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</row>
    <row r="842" ht="14.25" customHeight="1">
      <c r="A842" s="60"/>
      <c r="B842" s="60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</row>
    <row r="843" ht="14.25" customHeight="1">
      <c r="A843" s="60"/>
      <c r="B843" s="60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</row>
    <row r="844" ht="14.25" customHeight="1">
      <c r="A844" s="60"/>
      <c r="B844" s="60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</row>
    <row r="845" ht="14.25" customHeight="1">
      <c r="A845" s="60"/>
      <c r="B845" s="60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</row>
    <row r="846" ht="14.25" customHeight="1">
      <c r="A846" s="60"/>
      <c r="B846" s="60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</row>
    <row r="847" ht="14.25" customHeight="1">
      <c r="A847" s="60"/>
      <c r="B847" s="60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</row>
    <row r="848" ht="14.25" customHeight="1">
      <c r="A848" s="60"/>
      <c r="B848" s="60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</row>
    <row r="849" ht="14.25" customHeight="1">
      <c r="A849" s="60"/>
      <c r="B849" s="60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</row>
    <row r="850" ht="14.25" customHeight="1">
      <c r="A850" s="60"/>
      <c r="B850" s="60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</row>
    <row r="851" ht="14.25" customHeight="1">
      <c r="A851" s="60"/>
      <c r="B851" s="60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</row>
    <row r="852" ht="14.25" customHeight="1">
      <c r="A852" s="60"/>
      <c r="B852" s="60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</row>
    <row r="853" ht="14.25" customHeight="1">
      <c r="A853" s="60"/>
      <c r="B853" s="60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</row>
    <row r="854" ht="14.25" customHeight="1">
      <c r="A854" s="60"/>
      <c r="B854" s="60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</row>
    <row r="855" ht="14.25" customHeight="1">
      <c r="A855" s="60"/>
      <c r="B855" s="60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</row>
    <row r="856" ht="14.25" customHeight="1">
      <c r="A856" s="60"/>
      <c r="B856" s="60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</row>
    <row r="857" ht="14.25" customHeight="1">
      <c r="A857" s="60"/>
      <c r="B857" s="60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</row>
    <row r="858" ht="14.25" customHeight="1">
      <c r="A858" s="60"/>
      <c r="B858" s="60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</row>
    <row r="859" ht="14.25" customHeight="1">
      <c r="A859" s="60"/>
      <c r="B859" s="60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</row>
    <row r="860" ht="14.25" customHeight="1">
      <c r="A860" s="60"/>
      <c r="B860" s="60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</row>
    <row r="861" ht="14.25" customHeight="1">
      <c r="A861" s="60"/>
      <c r="B861" s="60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</row>
    <row r="862" ht="14.25" customHeight="1">
      <c r="A862" s="60"/>
      <c r="B862" s="60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</row>
    <row r="863" ht="14.25" customHeight="1">
      <c r="A863" s="60"/>
      <c r="B863" s="60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</row>
    <row r="864" ht="14.25" customHeight="1">
      <c r="A864" s="60"/>
      <c r="B864" s="60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</row>
    <row r="865" ht="14.25" customHeight="1">
      <c r="A865" s="60"/>
      <c r="B865" s="60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</row>
    <row r="866" ht="14.25" customHeight="1">
      <c r="A866" s="60"/>
      <c r="B866" s="60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</row>
    <row r="867" ht="14.25" customHeight="1">
      <c r="A867" s="60"/>
      <c r="B867" s="60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</row>
    <row r="868" ht="14.25" customHeight="1">
      <c r="A868" s="60"/>
      <c r="B868" s="60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</row>
    <row r="869" ht="14.25" customHeight="1">
      <c r="A869" s="60"/>
      <c r="B869" s="60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</row>
    <row r="870" ht="14.25" customHeight="1">
      <c r="A870" s="60"/>
      <c r="B870" s="60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</row>
    <row r="871" ht="14.25" customHeight="1">
      <c r="A871" s="60"/>
      <c r="B871" s="60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</row>
    <row r="872" ht="14.25" customHeight="1">
      <c r="A872" s="60"/>
      <c r="B872" s="60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</row>
    <row r="873" ht="14.25" customHeight="1">
      <c r="A873" s="60"/>
      <c r="B873" s="60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</row>
    <row r="874" ht="14.25" customHeight="1">
      <c r="A874" s="60"/>
      <c r="B874" s="60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</row>
    <row r="875" ht="14.25" customHeight="1">
      <c r="A875" s="60"/>
      <c r="B875" s="60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</row>
    <row r="876" ht="14.25" customHeight="1">
      <c r="A876" s="60"/>
      <c r="B876" s="60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</row>
    <row r="877" ht="14.25" customHeight="1">
      <c r="A877" s="60"/>
      <c r="B877" s="60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</row>
    <row r="878" ht="14.25" customHeight="1">
      <c r="A878" s="60"/>
      <c r="B878" s="60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</row>
    <row r="879" ht="14.25" customHeight="1">
      <c r="A879" s="60"/>
      <c r="B879" s="60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</row>
    <row r="880" ht="14.25" customHeight="1">
      <c r="A880" s="60"/>
      <c r="B880" s="60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</row>
    <row r="881" ht="14.25" customHeight="1">
      <c r="A881" s="60"/>
      <c r="B881" s="60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</row>
    <row r="882" ht="14.25" customHeight="1">
      <c r="A882" s="60"/>
      <c r="B882" s="60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</row>
    <row r="883" ht="14.25" customHeight="1">
      <c r="A883" s="60"/>
      <c r="B883" s="60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</row>
    <row r="884" ht="14.25" customHeight="1">
      <c r="A884" s="60"/>
      <c r="B884" s="60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</row>
    <row r="885" ht="14.25" customHeight="1">
      <c r="A885" s="60"/>
      <c r="B885" s="60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</row>
    <row r="886" ht="14.25" customHeight="1">
      <c r="A886" s="60"/>
      <c r="B886" s="60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</row>
    <row r="887" ht="14.25" customHeight="1">
      <c r="A887" s="60"/>
      <c r="B887" s="60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</row>
    <row r="888" ht="14.25" customHeight="1">
      <c r="A888" s="60"/>
      <c r="B888" s="60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</row>
    <row r="889" ht="14.25" customHeight="1">
      <c r="A889" s="60"/>
      <c r="B889" s="60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</row>
    <row r="890" ht="14.25" customHeight="1">
      <c r="A890" s="60"/>
      <c r="B890" s="60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</row>
    <row r="891" ht="14.25" customHeight="1">
      <c r="A891" s="60"/>
      <c r="B891" s="60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</row>
    <row r="892" ht="14.25" customHeight="1">
      <c r="A892" s="60"/>
      <c r="B892" s="60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</row>
    <row r="893" ht="14.25" customHeight="1">
      <c r="A893" s="60"/>
      <c r="B893" s="60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</row>
    <row r="894" ht="14.25" customHeight="1">
      <c r="A894" s="60"/>
      <c r="B894" s="60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</row>
    <row r="895" ht="14.25" customHeight="1">
      <c r="A895" s="60"/>
      <c r="B895" s="60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</row>
    <row r="896" ht="14.25" customHeight="1">
      <c r="A896" s="60"/>
      <c r="B896" s="60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</row>
    <row r="897" ht="14.25" customHeight="1">
      <c r="A897" s="60"/>
      <c r="B897" s="60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</row>
    <row r="898" ht="14.25" customHeight="1">
      <c r="A898" s="60"/>
      <c r="B898" s="60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</row>
    <row r="899" ht="14.25" customHeight="1">
      <c r="A899" s="60"/>
      <c r="B899" s="60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</row>
    <row r="900" ht="14.25" customHeight="1">
      <c r="A900" s="60"/>
      <c r="B900" s="60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</row>
    <row r="901" ht="14.25" customHeight="1">
      <c r="A901" s="60"/>
      <c r="B901" s="60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</row>
    <row r="902" ht="14.25" customHeight="1">
      <c r="A902" s="60"/>
      <c r="B902" s="60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</row>
    <row r="903" ht="14.25" customHeight="1">
      <c r="A903" s="60"/>
      <c r="B903" s="60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</row>
    <row r="904" ht="14.25" customHeight="1">
      <c r="A904" s="60"/>
      <c r="B904" s="60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</row>
    <row r="905" ht="14.25" customHeight="1">
      <c r="A905" s="60"/>
      <c r="B905" s="60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</row>
    <row r="906" ht="14.25" customHeight="1">
      <c r="A906" s="60"/>
      <c r="B906" s="60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</row>
    <row r="907" ht="14.25" customHeight="1">
      <c r="A907" s="60"/>
      <c r="B907" s="60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</row>
    <row r="908" ht="14.25" customHeight="1">
      <c r="A908" s="60"/>
      <c r="B908" s="60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</row>
    <row r="909" ht="14.25" customHeight="1">
      <c r="A909" s="60"/>
      <c r="B909" s="60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</row>
    <row r="910" ht="14.25" customHeight="1">
      <c r="A910" s="60"/>
      <c r="B910" s="60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</row>
    <row r="911" ht="14.25" customHeight="1">
      <c r="A911" s="60"/>
      <c r="B911" s="60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</row>
    <row r="912" ht="14.25" customHeight="1">
      <c r="A912" s="60"/>
      <c r="B912" s="60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</row>
    <row r="913" ht="14.25" customHeight="1">
      <c r="A913" s="60"/>
      <c r="B913" s="60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</row>
    <row r="914" ht="14.25" customHeight="1">
      <c r="A914" s="60"/>
      <c r="B914" s="60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</row>
    <row r="915" ht="14.25" customHeight="1">
      <c r="A915" s="60"/>
      <c r="B915" s="60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</row>
    <row r="916" ht="14.25" customHeight="1">
      <c r="A916" s="60"/>
      <c r="B916" s="60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</row>
    <row r="917" ht="14.25" customHeight="1">
      <c r="A917" s="60"/>
      <c r="B917" s="60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</row>
    <row r="918" ht="14.25" customHeight="1">
      <c r="A918" s="60"/>
      <c r="B918" s="60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</row>
    <row r="919" ht="14.25" customHeight="1">
      <c r="A919" s="60"/>
      <c r="B919" s="60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</row>
    <row r="920" ht="14.25" customHeight="1">
      <c r="A920" s="60"/>
      <c r="B920" s="60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</row>
    <row r="921" ht="14.25" customHeight="1">
      <c r="A921" s="60"/>
      <c r="B921" s="60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</row>
    <row r="922" ht="14.25" customHeight="1">
      <c r="A922" s="60"/>
      <c r="B922" s="60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</row>
    <row r="923" ht="14.25" customHeight="1">
      <c r="A923" s="60"/>
      <c r="B923" s="60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</row>
    <row r="924" ht="14.25" customHeight="1">
      <c r="A924" s="60"/>
      <c r="B924" s="60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</row>
    <row r="925" ht="14.25" customHeight="1">
      <c r="A925" s="60"/>
      <c r="B925" s="60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</row>
    <row r="926" ht="14.25" customHeight="1">
      <c r="A926" s="60"/>
      <c r="B926" s="60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</row>
    <row r="927" ht="14.25" customHeight="1">
      <c r="A927" s="60"/>
      <c r="B927" s="60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</row>
    <row r="928" ht="14.25" customHeight="1">
      <c r="A928" s="60"/>
      <c r="B928" s="60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</row>
    <row r="929" ht="14.25" customHeight="1">
      <c r="A929" s="60"/>
      <c r="B929" s="60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</row>
    <row r="930" ht="14.25" customHeight="1">
      <c r="A930" s="60"/>
      <c r="B930" s="60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</row>
    <row r="931" ht="14.25" customHeight="1">
      <c r="A931" s="60"/>
      <c r="B931" s="60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</row>
    <row r="932" ht="14.25" customHeight="1">
      <c r="A932" s="60"/>
      <c r="B932" s="60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</row>
    <row r="933" ht="14.25" customHeight="1">
      <c r="A933" s="60"/>
      <c r="B933" s="60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</row>
    <row r="934" ht="14.25" customHeight="1">
      <c r="A934" s="60"/>
      <c r="B934" s="60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</row>
    <row r="935" ht="14.25" customHeight="1">
      <c r="A935" s="60"/>
      <c r="B935" s="60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</row>
    <row r="936" ht="14.25" customHeight="1">
      <c r="A936" s="60"/>
      <c r="B936" s="60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</row>
    <row r="937" ht="14.25" customHeight="1">
      <c r="A937" s="60"/>
      <c r="B937" s="60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</row>
    <row r="938" ht="14.25" customHeight="1">
      <c r="A938" s="60"/>
      <c r="B938" s="60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</row>
    <row r="939" ht="14.25" customHeight="1">
      <c r="A939" s="60"/>
      <c r="B939" s="60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</row>
    <row r="940" ht="14.25" customHeight="1">
      <c r="A940" s="60"/>
      <c r="B940" s="60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</row>
    <row r="941" ht="14.25" customHeight="1">
      <c r="A941" s="60"/>
      <c r="B941" s="60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</row>
    <row r="942" ht="14.25" customHeight="1">
      <c r="A942" s="60"/>
      <c r="B942" s="60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</row>
    <row r="943" ht="14.25" customHeight="1">
      <c r="A943" s="60"/>
      <c r="B943" s="60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</row>
    <row r="944" ht="14.25" customHeight="1">
      <c r="A944" s="60"/>
      <c r="B944" s="60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</row>
    <row r="945" ht="14.25" customHeight="1">
      <c r="A945" s="60"/>
      <c r="B945" s="60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</row>
    <row r="946" ht="14.25" customHeight="1">
      <c r="A946" s="60"/>
      <c r="B946" s="60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</row>
    <row r="947" ht="14.25" customHeight="1">
      <c r="A947" s="60"/>
      <c r="B947" s="60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</row>
    <row r="948" ht="14.25" customHeight="1">
      <c r="A948" s="60"/>
      <c r="B948" s="60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</row>
    <row r="949" ht="14.25" customHeight="1">
      <c r="A949" s="60"/>
      <c r="B949" s="60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</row>
    <row r="950" ht="14.25" customHeight="1">
      <c r="A950" s="60"/>
      <c r="B950" s="60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</row>
    <row r="951" ht="14.25" customHeight="1">
      <c r="A951" s="60"/>
      <c r="B951" s="60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</row>
    <row r="952" ht="14.25" customHeight="1">
      <c r="A952" s="60"/>
      <c r="B952" s="60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</row>
    <row r="953" ht="14.25" customHeight="1">
      <c r="A953" s="60"/>
      <c r="B953" s="60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</row>
    <row r="954" ht="14.25" customHeight="1">
      <c r="A954" s="60"/>
      <c r="B954" s="60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</row>
    <row r="955" ht="14.25" customHeight="1">
      <c r="A955" s="60"/>
      <c r="B955" s="60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</row>
    <row r="956" ht="14.25" customHeight="1">
      <c r="A956" s="60"/>
      <c r="B956" s="60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</row>
    <row r="957" ht="14.25" customHeight="1">
      <c r="A957" s="60"/>
      <c r="B957" s="60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</row>
    <row r="958" ht="14.25" customHeight="1">
      <c r="A958" s="60"/>
      <c r="B958" s="60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</row>
    <row r="959" ht="14.25" customHeight="1">
      <c r="A959" s="60"/>
      <c r="B959" s="60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</row>
    <row r="960" ht="14.25" customHeight="1">
      <c r="A960" s="60"/>
      <c r="B960" s="60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</row>
    <row r="961" ht="14.25" customHeight="1">
      <c r="A961" s="60"/>
      <c r="B961" s="60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</row>
    <row r="962" ht="14.25" customHeight="1">
      <c r="A962" s="60"/>
      <c r="B962" s="60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</row>
    <row r="963" ht="14.25" customHeight="1">
      <c r="A963" s="60"/>
      <c r="B963" s="60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</row>
    <row r="964" ht="14.25" customHeight="1">
      <c r="A964" s="60"/>
      <c r="B964" s="60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</row>
    <row r="965" ht="14.25" customHeight="1">
      <c r="A965" s="60"/>
      <c r="B965" s="60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</row>
    <row r="966" ht="14.25" customHeight="1">
      <c r="A966" s="60"/>
      <c r="B966" s="60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</row>
    <row r="967" ht="14.25" customHeight="1">
      <c r="A967" s="60"/>
      <c r="B967" s="60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</row>
    <row r="968" ht="14.25" customHeight="1">
      <c r="A968" s="60"/>
      <c r="B968" s="60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</row>
    <row r="969" ht="14.25" customHeight="1">
      <c r="A969" s="60"/>
      <c r="B969" s="60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</row>
    <row r="970" ht="14.25" customHeight="1">
      <c r="A970" s="60"/>
      <c r="B970" s="60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</row>
    <row r="971" ht="14.25" customHeight="1">
      <c r="A971" s="60"/>
      <c r="B971" s="60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</row>
    <row r="972" ht="14.25" customHeight="1">
      <c r="A972" s="60"/>
      <c r="B972" s="60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</row>
    <row r="973" ht="14.25" customHeight="1">
      <c r="A973" s="60"/>
      <c r="B973" s="60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</row>
    <row r="974" ht="14.25" customHeight="1">
      <c r="A974" s="60"/>
      <c r="B974" s="60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</row>
    <row r="975" ht="14.25" customHeight="1">
      <c r="A975" s="60"/>
      <c r="B975" s="60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</row>
    <row r="976" ht="14.25" customHeight="1">
      <c r="A976" s="60"/>
      <c r="B976" s="60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</row>
    <row r="977" ht="14.25" customHeight="1">
      <c r="A977" s="60"/>
      <c r="B977" s="60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</row>
    <row r="978" ht="14.25" customHeight="1">
      <c r="A978" s="60"/>
      <c r="B978" s="60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</row>
    <row r="979" ht="14.25" customHeight="1">
      <c r="A979" s="60"/>
      <c r="B979" s="60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</row>
    <row r="980" ht="14.25" customHeight="1">
      <c r="A980" s="60"/>
      <c r="B980" s="60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</row>
    <row r="981" ht="14.25" customHeight="1">
      <c r="A981" s="60"/>
      <c r="B981" s="60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</row>
    <row r="982" ht="14.25" customHeight="1">
      <c r="A982" s="60"/>
      <c r="B982" s="60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</row>
    <row r="983" ht="14.25" customHeight="1">
      <c r="A983" s="60"/>
      <c r="B983" s="60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</row>
  </sheetData>
  <mergeCells count="3">
    <mergeCell ref="A6:A9"/>
    <mergeCell ref="A12:A13"/>
    <mergeCell ref="A20:A25"/>
  </mergeCells>
  <conditionalFormatting sqref="C4:V4 C16:V16">
    <cfRule type="cellIs" dxfId="0" priority="1" operator="between">
      <formula>0</formula>
      <formula>25000</formula>
    </cfRule>
  </conditionalFormatting>
  <conditionalFormatting sqref="C4:V4 C16:V16">
    <cfRule type="cellIs" dxfId="1" priority="2" operator="greaterThan">
      <formula>25000</formula>
    </cfRule>
  </conditionalFormatting>
  <conditionalFormatting sqref="C4:V4 C16:V16">
    <cfRule type="cellIs" dxfId="2" priority="3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2025-06-05T17:21:26Z</dcterms:created>
  <dc:creator>Cecilia Paula Delmé</dc:creator>
</cp:coreProperties>
</file>